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ink/ink1.xml" ContentType="application/inkml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\Wall Street Prep Dropbox\Andrew Federico\#Andrew Space\#New Content Dev (Andrew)\01. Comps\#New Trading\Models\#FINAL\"/>
    </mc:Choice>
  </mc:AlternateContent>
  <xr:revisionPtr revIDLastSave="0" documentId="13_ncr:1_{331512B2-1AFC-4140-8056-665F367BE50E}" xr6:coauthVersionLast="47" xr6:coauthVersionMax="47" xr10:uidLastSave="{00000000-0000-0000-0000-000000000000}"/>
  <bookViews>
    <workbookView xWindow="38307" yWindow="-93" windowWidth="38586" windowHeight="21066" firstSheet="2" activeTab="2" xr2:uid="{D76B8743-43EA-4C2D-BD41-C76F9205B2C3}"/>
  </bookViews>
  <sheets>
    <sheet name="__FDSCACHE__" sheetId="3" state="veryHidden" r:id="rId1"/>
    <sheet name="ANR as of Feb 14" sheetId="2" state="hidden" r:id="rId2"/>
    <sheet name="Input Tab" sheetId="1" r:id="rId3"/>
    <sheet name="Operating Metrics" sheetId="4" r:id="rId4"/>
    <sheet name="Valuation Metrics" sheetId="5" r:id="rId5"/>
    <sheet name="Football Field" sheetId="6" r:id="rId6"/>
  </sheets>
  <definedNames>
    <definedName name="_bdm.964735ded3a040178ceb38dd1100d418.edm" localSheetId="2" hidden="1">'Input Tab'!$E$135</definedName>
    <definedName name="_bdm.9ac20bc4e6514e9896919cca357e6898.edm" hidden="1">'Input Tab'!$1:$1048576</definedName>
    <definedName name="_bdm.a8339ccde6034358b8f26e2643c6d052.edm" localSheetId="2" hidden="1">'Input Tab'!$E$134</definedName>
    <definedName name="INPUTS">'Input Tab'!$9:$308</definedName>
    <definedName name="METRICS">'Input Tab'!$C$9:$C$308</definedName>
    <definedName name="REFRESHDATE">'Input Tab'!$C$5</definedName>
  </definedNames>
  <calcPr calcId="191029" calcMode="autoNoTable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6" l="1"/>
  <c r="I10" i="6"/>
  <c r="D16" i="6"/>
  <c r="D17" i="6"/>
  <c r="D15" i="6"/>
  <c r="C10" i="6"/>
  <c r="E10" i="6"/>
  <c r="I8" i="6"/>
  <c r="G8" i="6"/>
  <c r="E8" i="6"/>
  <c r="C8" i="6"/>
  <c r="G3" i="6"/>
  <c r="C3" i="6"/>
  <c r="AH6" i="4" l="1"/>
  <c r="V6" i="4"/>
  <c r="O6" i="4"/>
  <c r="V8" i="5"/>
  <c r="V9" i="5"/>
  <c r="V10" i="5"/>
  <c r="V11" i="5"/>
  <c r="V18" i="5"/>
  <c r="K18" i="4"/>
  <c r="R18" i="4"/>
  <c r="H18" i="4" s="1"/>
  <c r="AD18" i="4"/>
  <c r="AD11" i="4"/>
  <c r="AD10" i="4"/>
  <c r="AD9" i="4"/>
  <c r="AD8" i="4"/>
  <c r="R11" i="4"/>
  <c r="R10" i="4"/>
  <c r="H10" i="4" s="1"/>
  <c r="R9" i="4"/>
  <c r="H9" i="4" s="1"/>
  <c r="R8" i="4"/>
  <c r="K8" i="4"/>
  <c r="K9" i="4"/>
  <c r="K10" i="4"/>
  <c r="K11" i="4"/>
  <c r="R6" i="4"/>
  <c r="Y6" i="4" s="1"/>
  <c r="AD6" i="4" s="1"/>
  <c r="AK6" i="4" s="1"/>
  <c r="M6" i="5"/>
  <c r="C18" i="4"/>
  <c r="C18" i="5" s="1"/>
  <c r="B41" i="5" s="1"/>
  <c r="C9" i="4"/>
  <c r="C9" i="5" s="1"/>
  <c r="B42" i="5" s="1"/>
  <c r="C10" i="4"/>
  <c r="C10" i="5" s="1"/>
  <c r="B45" i="5" s="1"/>
  <c r="C11" i="4"/>
  <c r="C11" i="5" s="1"/>
  <c r="B26" i="5" s="1"/>
  <c r="C8" i="4"/>
  <c r="C8" i="5" s="1"/>
  <c r="B44" i="5" s="1"/>
  <c r="J6" i="4"/>
  <c r="Q6" i="4" s="1"/>
  <c r="B25" i="5" l="1"/>
  <c r="B43" i="5"/>
  <c r="B24" i="5"/>
  <c r="B27" i="5"/>
  <c r="B23" i="5"/>
  <c r="Y11" i="4"/>
  <c r="AK11" i="4"/>
  <c r="Y8" i="4"/>
  <c r="H8" i="4"/>
  <c r="H11" i="4"/>
  <c r="Y9" i="4"/>
  <c r="AK8" i="4"/>
  <c r="AK9" i="4"/>
  <c r="Y18" i="4"/>
  <c r="AK10" i="4"/>
  <c r="AK18" i="4"/>
  <c r="Y10" i="4"/>
  <c r="Q6" i="5"/>
  <c r="L6" i="4"/>
  <c r="X6" i="4"/>
  <c r="AC6" i="4"/>
  <c r="AJ6" i="4" s="1"/>
  <c r="Y14" i="4" l="1"/>
  <c r="H15" i="4"/>
  <c r="H14" i="4"/>
  <c r="H13" i="4"/>
  <c r="H16" i="4"/>
  <c r="AK16" i="4"/>
  <c r="AK13" i="4"/>
  <c r="AK14" i="4"/>
  <c r="Y16" i="4"/>
  <c r="AK15" i="4"/>
  <c r="Y15" i="4"/>
  <c r="Y13" i="4"/>
  <c r="M6" i="4"/>
  <c r="T6" i="4" s="1"/>
  <c r="AF6" i="4" s="1"/>
  <c r="AM6" i="4" s="1"/>
  <c r="J6" i="5"/>
  <c r="S6" i="4"/>
  <c r="AE6" i="4" s="1"/>
  <c r="AL6" i="4" s="1"/>
  <c r="AA6" i="4" l="1"/>
  <c r="N6" i="5"/>
  <c r="R6" i="5" s="1"/>
  <c r="K6" i="5"/>
  <c r="O6" i="5" s="1"/>
  <c r="S6" i="5" s="1"/>
  <c r="Z6" i="4"/>
  <c r="M167" i="1" l="1"/>
  <c r="M162" i="1"/>
  <c r="M166" i="1"/>
  <c r="M114" i="1"/>
  <c r="M159" i="1"/>
  <c r="M157" i="1"/>
  <c r="M113" i="1"/>
  <c r="K167" i="1"/>
  <c r="K162" i="1"/>
  <c r="K166" i="1"/>
  <c r="K157" i="1"/>
  <c r="K155" i="1"/>
  <c r="K153" i="1"/>
  <c r="K154" i="1" s="1"/>
  <c r="K156" i="1" s="1"/>
  <c r="K158" i="1" s="1"/>
  <c r="K113" i="1"/>
  <c r="I167" i="1"/>
  <c r="I162" i="1"/>
  <c r="I166" i="1"/>
  <c r="I113" i="1"/>
  <c r="M275" i="1"/>
  <c r="K275" i="1"/>
  <c r="I275" i="1"/>
  <c r="G275" i="1"/>
  <c r="E275" i="1"/>
  <c r="G162" i="1"/>
  <c r="G166" i="1"/>
  <c r="G215" i="1"/>
  <c r="G217" i="1"/>
  <c r="G189" i="1"/>
  <c r="G191" i="1"/>
  <c r="G210" i="1"/>
  <c r="G184" i="1"/>
  <c r="G157" i="1"/>
  <c r="G113" i="1"/>
  <c r="M308" i="1"/>
  <c r="M302" i="1"/>
  <c r="M296" i="1"/>
  <c r="M290" i="1"/>
  <c r="M284" i="1"/>
  <c r="M274" i="1"/>
  <c r="M277" i="1" s="1"/>
  <c r="M239" i="1"/>
  <c r="M229" i="1"/>
  <c r="M207" i="1"/>
  <c r="M209" i="1" s="1"/>
  <c r="M211" i="1" s="1"/>
  <c r="M181" i="1"/>
  <c r="M183" i="1" s="1"/>
  <c r="M185" i="1" s="1"/>
  <c r="M177" i="1"/>
  <c r="M203" i="1" s="1"/>
  <c r="M154" i="1"/>
  <c r="M156" i="1" s="1"/>
  <c r="M150" i="1"/>
  <c r="M140" i="1"/>
  <c r="M139" i="1"/>
  <c r="M126" i="1"/>
  <c r="M122" i="1"/>
  <c r="M110" i="1"/>
  <c r="M141" i="1" s="1"/>
  <c r="M105" i="1"/>
  <c r="M21" i="1"/>
  <c r="M17" i="1"/>
  <c r="K308" i="1"/>
  <c r="K302" i="1"/>
  <c r="K296" i="1"/>
  <c r="K290" i="1"/>
  <c r="K284" i="1"/>
  <c r="K274" i="1"/>
  <c r="K277" i="1" s="1"/>
  <c r="K239" i="1"/>
  <c r="K229" i="1"/>
  <c r="K207" i="1"/>
  <c r="K209" i="1" s="1"/>
  <c r="K181" i="1"/>
  <c r="K183" i="1" s="1"/>
  <c r="K185" i="1" s="1"/>
  <c r="K177" i="1"/>
  <c r="K203" i="1" s="1"/>
  <c r="K150" i="1"/>
  <c r="K140" i="1"/>
  <c r="K139" i="1"/>
  <c r="K126" i="1"/>
  <c r="K122" i="1"/>
  <c r="K110" i="1"/>
  <c r="K141" i="1" s="1"/>
  <c r="K105" i="1"/>
  <c r="K21" i="1"/>
  <c r="K17" i="1"/>
  <c r="E215" i="1"/>
  <c r="E217" i="1"/>
  <c r="E189" i="1"/>
  <c r="E191" i="1"/>
  <c r="E210" i="1"/>
  <c r="E184" i="1"/>
  <c r="E113" i="1"/>
  <c r="I274" i="1"/>
  <c r="I239" i="1"/>
  <c r="I229" i="1"/>
  <c r="I207" i="1"/>
  <c r="I209" i="1" s="1"/>
  <c r="I223" i="1" s="1"/>
  <c r="I222" i="1" s="1"/>
  <c r="I181" i="1"/>
  <c r="I183" i="1" s="1"/>
  <c r="I177" i="1"/>
  <c r="I203" i="1" s="1"/>
  <c r="I154" i="1"/>
  <c r="I156" i="1" s="1"/>
  <c r="I150" i="1"/>
  <c r="I140" i="1"/>
  <c r="I139" i="1"/>
  <c r="I126" i="1"/>
  <c r="I122" i="1"/>
  <c r="I110" i="1"/>
  <c r="I141" i="1" s="1"/>
  <c r="I105" i="1"/>
  <c r="I21" i="1"/>
  <c r="I17" i="1"/>
  <c r="G308" i="1"/>
  <c r="G302" i="1"/>
  <c r="G296" i="1"/>
  <c r="G290" i="1"/>
  <c r="G284" i="1"/>
  <c r="G274" i="1"/>
  <c r="G277" i="1" s="1"/>
  <c r="G239" i="1"/>
  <c r="G229" i="1"/>
  <c r="G207" i="1"/>
  <c r="G209" i="1" s="1"/>
  <c r="G181" i="1"/>
  <c r="G183" i="1" s="1"/>
  <c r="G177" i="1"/>
  <c r="G203" i="1" s="1"/>
  <c r="G154" i="1"/>
  <c r="G156" i="1" s="1"/>
  <c r="G150" i="1"/>
  <c r="G140" i="1"/>
  <c r="G139" i="1"/>
  <c r="G126" i="1"/>
  <c r="G122" i="1"/>
  <c r="G110" i="1"/>
  <c r="G141" i="1" s="1"/>
  <c r="G105" i="1"/>
  <c r="G21" i="1"/>
  <c r="G17" i="1"/>
  <c r="E17" i="1"/>
  <c r="I277" i="1" l="1"/>
  <c r="M171" i="1"/>
  <c r="M170" i="1" s="1"/>
  <c r="M138" i="1"/>
  <c r="M142" i="1" s="1"/>
  <c r="M278" i="1"/>
  <c r="M307" i="1" s="1"/>
  <c r="K278" i="1"/>
  <c r="K282" i="1" s="1"/>
  <c r="L10" i="4" s="1"/>
  <c r="K138" i="1"/>
  <c r="G197" i="1"/>
  <c r="G196" i="1" s="1"/>
  <c r="M194" i="1"/>
  <c r="M187" i="1"/>
  <c r="M198" i="1" s="1"/>
  <c r="M199" i="1" s="1"/>
  <c r="M213" i="1"/>
  <c r="M224" i="1" s="1"/>
  <c r="M225" i="1" s="1"/>
  <c r="M220" i="1"/>
  <c r="M197" i="1"/>
  <c r="M196" i="1" s="1"/>
  <c r="M158" i="1"/>
  <c r="M223" i="1"/>
  <c r="M222" i="1" s="1"/>
  <c r="K164" i="1"/>
  <c r="K160" i="1"/>
  <c r="K172" i="1" s="1"/>
  <c r="K187" i="1"/>
  <c r="K198" i="1" s="1"/>
  <c r="K199" i="1" s="1"/>
  <c r="K194" i="1"/>
  <c r="K142" i="1"/>
  <c r="K223" i="1"/>
  <c r="K222" i="1" s="1"/>
  <c r="K211" i="1"/>
  <c r="K171" i="1"/>
  <c r="K197" i="1"/>
  <c r="K196" i="1" s="1"/>
  <c r="I211" i="1"/>
  <c r="I213" i="1" s="1"/>
  <c r="I224" i="1" s="1"/>
  <c r="I225" i="1" s="1"/>
  <c r="I138" i="1"/>
  <c r="I142" i="1" s="1"/>
  <c r="G138" i="1"/>
  <c r="G142" i="1" s="1"/>
  <c r="I278" i="1"/>
  <c r="I281" i="1" s="1"/>
  <c r="J9" i="4" s="1"/>
  <c r="I197" i="1"/>
  <c r="I196" i="1" s="1"/>
  <c r="I185" i="1"/>
  <c r="I158" i="1"/>
  <c r="I171" i="1"/>
  <c r="G278" i="1"/>
  <c r="G306" i="1" s="1"/>
  <c r="G158" i="1"/>
  <c r="G171" i="1"/>
  <c r="G211" i="1"/>
  <c r="G223" i="1"/>
  <c r="G222" i="1" s="1"/>
  <c r="G185" i="1"/>
  <c r="E308" i="1"/>
  <c r="E302" i="1"/>
  <c r="E296" i="1"/>
  <c r="E290" i="1"/>
  <c r="E284" i="1"/>
  <c r="E167" i="1"/>
  <c r="E162" i="1"/>
  <c r="E166" i="1"/>
  <c r="E140" i="1"/>
  <c r="E139" i="1"/>
  <c r="E157" i="1"/>
  <c r="E177" i="1"/>
  <c r="E203" i="1" s="1"/>
  <c r="E150" i="1"/>
  <c r="E105" i="1"/>
  <c r="E274" i="1"/>
  <c r="E277" i="1" s="1"/>
  <c r="E126" i="1"/>
  <c r="E122" i="1"/>
  <c r="E110" i="1"/>
  <c r="E141" i="1" s="1"/>
  <c r="E239" i="1"/>
  <c r="E229" i="1"/>
  <c r="E207" i="1"/>
  <c r="E209" i="1" s="1"/>
  <c r="E181" i="1"/>
  <c r="E183" i="1" s="1"/>
  <c r="E154" i="1"/>
  <c r="E156" i="1" s="1"/>
  <c r="M253" i="1" l="1"/>
  <c r="M294" i="1"/>
  <c r="M282" i="1"/>
  <c r="L11" i="4" s="1"/>
  <c r="M301" i="1"/>
  <c r="AF11" i="4" s="1"/>
  <c r="M281" i="1"/>
  <c r="J11" i="4" s="1"/>
  <c r="M289" i="1"/>
  <c r="T11" i="4" s="1"/>
  <c r="V11" i="4" s="1"/>
  <c r="M293" i="1"/>
  <c r="M295" i="1"/>
  <c r="M300" i="1"/>
  <c r="AE11" i="4" s="1"/>
  <c r="M283" i="1"/>
  <c r="M11" i="4" s="1"/>
  <c r="M288" i="1"/>
  <c r="S11" i="4" s="1"/>
  <c r="Z11" i="4" s="1"/>
  <c r="M306" i="1"/>
  <c r="K281" i="1"/>
  <c r="J10" i="4" s="1"/>
  <c r="K301" i="1"/>
  <c r="AF10" i="4" s="1"/>
  <c r="K300" i="1"/>
  <c r="AE10" i="4" s="1"/>
  <c r="AL10" i="4" s="1"/>
  <c r="K288" i="1"/>
  <c r="S10" i="4" s="1"/>
  <c r="Z10" i="4" s="1"/>
  <c r="K295" i="1"/>
  <c r="K283" i="1"/>
  <c r="M10" i="4" s="1"/>
  <c r="K289" i="1"/>
  <c r="T10" i="4" s="1"/>
  <c r="K294" i="1"/>
  <c r="K307" i="1"/>
  <c r="K306" i="1"/>
  <c r="I308" i="1"/>
  <c r="I302" i="1"/>
  <c r="I296" i="1"/>
  <c r="I290" i="1"/>
  <c r="I284" i="1"/>
  <c r="G281" i="1"/>
  <c r="J8" i="4" s="1"/>
  <c r="M53" i="1"/>
  <c r="M54" i="1" s="1"/>
  <c r="M48" i="1"/>
  <c r="M49" i="1" s="1"/>
  <c r="M89" i="1"/>
  <c r="M90" i="1" s="1"/>
  <c r="M43" i="1"/>
  <c r="M44" i="1" s="1"/>
  <c r="M73" i="1"/>
  <c r="M74" i="1" s="1"/>
  <c r="M68" i="1"/>
  <c r="M69" i="1" s="1"/>
  <c r="M84" i="1"/>
  <c r="M38" i="1"/>
  <c r="M39" i="1" s="1"/>
  <c r="M33" i="1"/>
  <c r="M34" i="1" s="1"/>
  <c r="M28" i="1"/>
  <c r="M63" i="1"/>
  <c r="M64" i="1" s="1"/>
  <c r="M58" i="1"/>
  <c r="M59" i="1" s="1"/>
  <c r="M134" i="1"/>
  <c r="G11" i="4" s="1"/>
  <c r="G11" i="5" s="1"/>
  <c r="W11" i="5" s="1"/>
  <c r="K84" i="1"/>
  <c r="K85" i="1" s="1"/>
  <c r="K38" i="1"/>
  <c r="K39" i="1" s="1"/>
  <c r="K33" i="1"/>
  <c r="K34" i="1" s="1"/>
  <c r="K28" i="1"/>
  <c r="K58" i="1"/>
  <c r="K59" i="1" s="1"/>
  <c r="K73" i="1"/>
  <c r="K74" i="1" s="1"/>
  <c r="K43" i="1"/>
  <c r="K44" i="1" s="1"/>
  <c r="K68" i="1"/>
  <c r="K69" i="1" s="1"/>
  <c r="K63" i="1"/>
  <c r="K64" i="1" s="1"/>
  <c r="K134" i="1"/>
  <c r="G10" i="4" s="1"/>
  <c r="G10" i="5" s="1"/>
  <c r="W10" i="5" s="1"/>
  <c r="K53" i="1"/>
  <c r="K54" i="1" s="1"/>
  <c r="K89" i="1"/>
  <c r="K48" i="1"/>
  <c r="K49" i="1" s="1"/>
  <c r="I58" i="1"/>
  <c r="I59" i="1" s="1"/>
  <c r="I53" i="1"/>
  <c r="I54" i="1" s="1"/>
  <c r="I38" i="1"/>
  <c r="I39" i="1" s="1"/>
  <c r="I33" i="1"/>
  <c r="I34" i="1" s="1"/>
  <c r="I134" i="1"/>
  <c r="G9" i="4" s="1"/>
  <c r="G9" i="5" s="1"/>
  <c r="W9" i="5" s="1"/>
  <c r="I63" i="1"/>
  <c r="I64" i="1" s="1"/>
  <c r="I48" i="1"/>
  <c r="I49" i="1" s="1"/>
  <c r="I89" i="1"/>
  <c r="I90" i="1" s="1"/>
  <c r="I43" i="1"/>
  <c r="I44" i="1" s="1"/>
  <c r="I84" i="1"/>
  <c r="I73" i="1"/>
  <c r="I74" i="1" s="1"/>
  <c r="I68" i="1"/>
  <c r="I69" i="1" s="1"/>
  <c r="I28" i="1"/>
  <c r="G84" i="1"/>
  <c r="G134" i="1"/>
  <c r="G8" i="4" s="1"/>
  <c r="G8" i="5" s="1"/>
  <c r="W8" i="5" s="1"/>
  <c r="G68" i="1"/>
  <c r="G69" i="1" s="1"/>
  <c r="G63" i="1"/>
  <c r="G64" i="1" s="1"/>
  <c r="G43" i="1"/>
  <c r="G44" i="1" s="1"/>
  <c r="G73" i="1"/>
  <c r="G74" i="1" s="1"/>
  <c r="G58" i="1"/>
  <c r="G59" i="1" s="1"/>
  <c r="G53" i="1"/>
  <c r="G54" i="1" s="1"/>
  <c r="G48" i="1"/>
  <c r="G49" i="1" s="1"/>
  <c r="G89" i="1"/>
  <c r="G90" i="1" s="1"/>
  <c r="G38" i="1"/>
  <c r="G39" i="1" s="1"/>
  <c r="G33" i="1"/>
  <c r="G34" i="1" s="1"/>
  <c r="G28" i="1"/>
  <c r="M230" i="1"/>
  <c r="M246" i="1"/>
  <c r="M287" i="1" s="1"/>
  <c r="Q11" i="4" s="1"/>
  <c r="M231" i="1"/>
  <c r="M164" i="1"/>
  <c r="M160" i="1"/>
  <c r="M172" i="1" s="1"/>
  <c r="K220" i="1"/>
  <c r="K213" i="1"/>
  <c r="K224" i="1" s="1"/>
  <c r="K225" i="1" s="1"/>
  <c r="K260" i="1"/>
  <c r="K299" i="1" s="1"/>
  <c r="AC10" i="4" s="1"/>
  <c r="K173" i="1"/>
  <c r="K170" i="1"/>
  <c r="K253" i="1"/>
  <c r="K293" i="1" s="1"/>
  <c r="K231" i="1"/>
  <c r="I220" i="1"/>
  <c r="I306" i="1"/>
  <c r="I283" i="1"/>
  <c r="M9" i="4" s="1"/>
  <c r="O9" i="4" s="1"/>
  <c r="I160" i="1"/>
  <c r="I172" i="1" s="1"/>
  <c r="I164" i="1"/>
  <c r="I194" i="1"/>
  <c r="I187" i="1"/>
  <c r="I198" i="1" s="1"/>
  <c r="I199" i="1" s="1"/>
  <c r="I294" i="1"/>
  <c r="I288" i="1"/>
  <c r="S9" i="4" s="1"/>
  <c r="I289" i="1"/>
  <c r="T9" i="4" s="1"/>
  <c r="I307" i="1"/>
  <c r="I282" i="1"/>
  <c r="L9" i="4" s="1"/>
  <c r="I300" i="1"/>
  <c r="AE9" i="4" s="1"/>
  <c r="I295" i="1"/>
  <c r="I253" i="1"/>
  <c r="I293" i="1" s="1"/>
  <c r="I231" i="1"/>
  <c r="I170" i="1"/>
  <c r="I301" i="1"/>
  <c r="AF9" i="4" s="1"/>
  <c r="G253" i="1"/>
  <c r="G293" i="1" s="1"/>
  <c r="G231" i="1"/>
  <c r="G170" i="1"/>
  <c r="G294" i="1"/>
  <c r="G282" i="1"/>
  <c r="L8" i="4" s="1"/>
  <c r="G194" i="1"/>
  <c r="G187" i="1"/>
  <c r="G198" i="1" s="1"/>
  <c r="G199" i="1" s="1"/>
  <c r="G288" i="1"/>
  <c r="S8" i="4" s="1"/>
  <c r="G283" i="1"/>
  <c r="M8" i="4" s="1"/>
  <c r="G160" i="1"/>
  <c r="G172" i="1" s="1"/>
  <c r="G164" i="1"/>
  <c r="G307" i="1"/>
  <c r="G300" i="1"/>
  <c r="AE8" i="4" s="1"/>
  <c r="G295" i="1"/>
  <c r="G289" i="1"/>
  <c r="T8" i="4" s="1"/>
  <c r="G213" i="1"/>
  <c r="G224" i="1" s="1"/>
  <c r="G225" i="1" s="1"/>
  <c r="G220" i="1"/>
  <c r="G301" i="1"/>
  <c r="AF8" i="4" s="1"/>
  <c r="E134" i="1"/>
  <c r="G18" i="4" s="1"/>
  <c r="G18" i="5" s="1"/>
  <c r="W18" i="5" s="1"/>
  <c r="E138" i="1"/>
  <c r="E142" i="1" s="1"/>
  <c r="E211" i="1"/>
  <c r="E220" i="1" s="1"/>
  <c r="E223" i="1"/>
  <c r="E222" i="1" s="1"/>
  <c r="E185" i="1"/>
  <c r="E194" i="1" s="1"/>
  <c r="E197" i="1"/>
  <c r="E196" i="1" s="1"/>
  <c r="E171" i="1"/>
  <c r="E253" i="1" s="1"/>
  <c r="E158" i="1"/>
  <c r="E164" i="1" s="1"/>
  <c r="E89" i="1"/>
  <c r="E90" i="1" s="1"/>
  <c r="E84" i="1"/>
  <c r="E73" i="1"/>
  <c r="E74" i="1" s="1"/>
  <c r="E58" i="1"/>
  <c r="E59" i="1" s="1"/>
  <c r="E48" i="1"/>
  <c r="E49" i="1" s="1"/>
  <c r="E43" i="1"/>
  <c r="E44" i="1" s="1"/>
  <c r="E38" i="1"/>
  <c r="E39" i="1" s="1"/>
  <c r="E33" i="1"/>
  <c r="E34" i="1" s="1"/>
  <c r="E21" i="1"/>
  <c r="O8" i="4" l="1"/>
  <c r="AJ10" i="4"/>
  <c r="AH10" i="4"/>
  <c r="AL8" i="4"/>
  <c r="O10" i="4"/>
  <c r="O11" i="4"/>
  <c r="AM9" i="4"/>
  <c r="AL11" i="4"/>
  <c r="Z9" i="4"/>
  <c r="X11" i="4"/>
  <c r="AA11" i="4"/>
  <c r="AM8" i="4"/>
  <c r="AL9" i="4"/>
  <c r="AM11" i="4"/>
  <c r="Z8" i="4"/>
  <c r="AA9" i="4"/>
  <c r="AA8" i="4"/>
  <c r="AM10" i="4"/>
  <c r="AA10" i="4"/>
  <c r="M92" i="1"/>
  <c r="M85" i="1"/>
  <c r="M93" i="1" s="1"/>
  <c r="M94" i="1" s="1"/>
  <c r="M76" i="1"/>
  <c r="M29" i="1"/>
  <c r="M77" i="1" s="1"/>
  <c r="M78" i="1" s="1"/>
  <c r="K92" i="1"/>
  <c r="K90" i="1"/>
  <c r="K93" i="1" s="1"/>
  <c r="K94" i="1" s="1"/>
  <c r="K29" i="1"/>
  <c r="K77" i="1" s="1"/>
  <c r="K78" i="1" s="1"/>
  <c r="K76" i="1"/>
  <c r="I85" i="1"/>
  <c r="I93" i="1" s="1"/>
  <c r="I94" i="1" s="1"/>
  <c r="I92" i="1"/>
  <c r="I76" i="1"/>
  <c r="I29" i="1"/>
  <c r="I77" i="1" s="1"/>
  <c r="I78" i="1" s="1"/>
  <c r="G29" i="1"/>
  <c r="G77" i="1" s="1"/>
  <c r="G78" i="1" s="1"/>
  <c r="G76" i="1"/>
  <c r="G85" i="1"/>
  <c r="G93" i="1" s="1"/>
  <c r="G94" i="1" s="1"/>
  <c r="G92" i="1"/>
  <c r="M260" i="1"/>
  <c r="M299" i="1" s="1"/>
  <c r="AC11" i="4" s="1"/>
  <c r="AJ11" i="4" s="1"/>
  <c r="M232" i="1"/>
  <c r="M173" i="1"/>
  <c r="K246" i="1"/>
  <c r="K287" i="1" s="1"/>
  <c r="Q10" i="4" s="1"/>
  <c r="X10" i="4" s="1"/>
  <c r="K230" i="1"/>
  <c r="K267" i="1"/>
  <c r="K305" i="1" s="1"/>
  <c r="K233" i="1"/>
  <c r="K232" i="1"/>
  <c r="I230" i="1"/>
  <c r="I246" i="1"/>
  <c r="I287" i="1" s="1"/>
  <c r="Q9" i="4" s="1"/>
  <c r="X9" i="4" s="1"/>
  <c r="I260" i="1"/>
  <c r="I299" i="1" s="1"/>
  <c r="AC9" i="4" s="1"/>
  <c r="AJ9" i="4" s="1"/>
  <c r="I173" i="1"/>
  <c r="I232" i="1"/>
  <c r="G173" i="1"/>
  <c r="G260" i="1"/>
  <c r="G299" i="1" s="1"/>
  <c r="AC8" i="4" s="1"/>
  <c r="AJ8" i="4" s="1"/>
  <c r="G232" i="1"/>
  <c r="G230" i="1"/>
  <c r="G246" i="1"/>
  <c r="G287" i="1" s="1"/>
  <c r="Q8" i="4" s="1"/>
  <c r="X8" i="4" s="1"/>
  <c r="E53" i="1"/>
  <c r="E54" i="1" s="1"/>
  <c r="E63" i="1"/>
  <c r="E64" i="1" s="1"/>
  <c r="E28" i="1"/>
  <c r="E29" i="1" s="1"/>
  <c r="E68" i="1"/>
  <c r="E69" i="1" s="1"/>
  <c r="E278" i="1"/>
  <c r="E170" i="1"/>
  <c r="E231" i="1"/>
  <c r="E213" i="1"/>
  <c r="E224" i="1" s="1"/>
  <c r="E225" i="1" s="1"/>
  <c r="E187" i="1"/>
  <c r="E198" i="1" s="1"/>
  <c r="E199" i="1" s="1"/>
  <c r="E160" i="1"/>
  <c r="E172" i="1" s="1"/>
  <c r="E92" i="1"/>
  <c r="E85" i="1"/>
  <c r="O13" i="4" l="1"/>
  <c r="AH8" i="4"/>
  <c r="AH11" i="4"/>
  <c r="V10" i="4"/>
  <c r="AH9" i="4"/>
  <c r="AH13" i="4" s="1"/>
  <c r="O15" i="4"/>
  <c r="O14" i="4"/>
  <c r="V8" i="4"/>
  <c r="O16" i="4"/>
  <c r="V9" i="4"/>
  <c r="AL13" i="4"/>
  <c r="AL15" i="4"/>
  <c r="AL16" i="4"/>
  <c r="AL14" i="4"/>
  <c r="G95" i="1"/>
  <c r="M79" i="1"/>
  <c r="AA14" i="4"/>
  <c r="AA13" i="4"/>
  <c r="AA16" i="4"/>
  <c r="AA15" i="4"/>
  <c r="Z14" i="4"/>
  <c r="Z16" i="4"/>
  <c r="Z13" i="4"/>
  <c r="Z15" i="4"/>
  <c r="X16" i="4"/>
  <c r="X15" i="4"/>
  <c r="X14" i="4"/>
  <c r="X13" i="4"/>
  <c r="AJ13" i="4"/>
  <c r="AJ14" i="4"/>
  <c r="AJ15" i="4"/>
  <c r="AJ16" i="4"/>
  <c r="K95" i="1"/>
  <c r="AM14" i="4"/>
  <c r="AM16" i="4"/>
  <c r="AM15" i="4"/>
  <c r="AM13" i="4"/>
  <c r="I95" i="1"/>
  <c r="M95" i="1"/>
  <c r="M101" i="1" s="1"/>
  <c r="M135" i="1" s="1"/>
  <c r="M136" i="1" s="1"/>
  <c r="K79" i="1"/>
  <c r="I79" i="1"/>
  <c r="G79" i="1"/>
  <c r="G101" i="1" s="1"/>
  <c r="G135" i="1" s="1"/>
  <c r="G136" i="1" s="1"/>
  <c r="M267" i="1"/>
  <c r="M305" i="1" s="1"/>
  <c r="M233" i="1"/>
  <c r="I267" i="1"/>
  <c r="I305" i="1" s="1"/>
  <c r="I233" i="1"/>
  <c r="G267" i="1"/>
  <c r="G305" i="1" s="1"/>
  <c r="G233" i="1"/>
  <c r="E77" i="1"/>
  <c r="E78" i="1" s="1"/>
  <c r="E76" i="1"/>
  <c r="E294" i="1"/>
  <c r="E307" i="1"/>
  <c r="E295" i="1"/>
  <c r="E281" i="1"/>
  <c r="J18" i="4" s="1"/>
  <c r="E282" i="1"/>
  <c r="L18" i="4" s="1"/>
  <c r="E301" i="1"/>
  <c r="AF18" i="4" s="1"/>
  <c r="E288" i="1"/>
  <c r="S18" i="4" s="1"/>
  <c r="E293" i="1"/>
  <c r="E300" i="1"/>
  <c r="AE18" i="4" s="1"/>
  <c r="E306" i="1"/>
  <c r="E289" i="1"/>
  <c r="T18" i="4" s="1"/>
  <c r="E283" i="1"/>
  <c r="M18" i="4" s="1"/>
  <c r="E260" i="1"/>
  <c r="E299" i="1" s="1"/>
  <c r="AC18" i="4" s="1"/>
  <c r="E173" i="1"/>
  <c r="E230" i="1"/>
  <c r="E246" i="1"/>
  <c r="E287" i="1" s="1"/>
  <c r="Q18" i="4" s="1"/>
  <c r="E232" i="1"/>
  <c r="E93" i="1"/>
  <c r="E94" i="1" s="1"/>
  <c r="E95" i="1" s="1"/>
  <c r="V18" i="4" l="1"/>
  <c r="G6" i="6"/>
  <c r="G7" i="6" s="1"/>
  <c r="G9" i="6" s="1"/>
  <c r="G11" i="6" s="1"/>
  <c r="C19" i="6" s="1"/>
  <c r="I6" i="6"/>
  <c r="I7" i="6" s="1"/>
  <c r="I9" i="6" s="1"/>
  <c r="I11" i="6" s="1"/>
  <c r="E19" i="6" s="1"/>
  <c r="D19" i="6" s="1"/>
  <c r="E6" i="6"/>
  <c r="E7" i="6" s="1"/>
  <c r="E9" i="6" s="1"/>
  <c r="E11" i="6" s="1"/>
  <c r="E18" i="6" s="1"/>
  <c r="C6" i="6"/>
  <c r="C7" i="6" s="1"/>
  <c r="C9" i="6" s="1"/>
  <c r="C11" i="6" s="1"/>
  <c r="C18" i="6" s="1"/>
  <c r="O18" i="4"/>
  <c r="AH14" i="4"/>
  <c r="AH16" i="4"/>
  <c r="AH15" i="4"/>
  <c r="AH18" i="4"/>
  <c r="V15" i="4"/>
  <c r="V16" i="4"/>
  <c r="V14" i="4"/>
  <c r="V13" i="4"/>
  <c r="AL18" i="4"/>
  <c r="K101" i="1"/>
  <c r="K135" i="1" s="1"/>
  <c r="K136" i="1" s="1"/>
  <c r="AJ18" i="4"/>
  <c r="M144" i="1"/>
  <c r="E11" i="4" s="1"/>
  <c r="E11" i="5" s="1"/>
  <c r="F11" i="4"/>
  <c r="F11" i="5" s="1"/>
  <c r="Q11" i="5" s="1"/>
  <c r="AA18" i="4"/>
  <c r="X18" i="4"/>
  <c r="G144" i="1"/>
  <c r="E8" i="4" s="1"/>
  <c r="E8" i="5" s="1"/>
  <c r="F8" i="4"/>
  <c r="F8" i="5" s="1"/>
  <c r="Q8" i="5" s="1"/>
  <c r="Z18" i="4"/>
  <c r="I101" i="1"/>
  <c r="I135" i="1" s="1"/>
  <c r="I136" i="1" s="1"/>
  <c r="AM18" i="4"/>
  <c r="K144" i="1"/>
  <c r="E10" i="4" s="1"/>
  <c r="E10" i="5" s="1"/>
  <c r="F10" i="4"/>
  <c r="F10" i="5" s="1"/>
  <c r="Q10" i="5" s="1"/>
  <c r="E79" i="1"/>
  <c r="E101" i="1" s="1"/>
  <c r="E233" i="1"/>
  <c r="E267" i="1"/>
  <c r="E305" i="1" s="1"/>
  <c r="D18" i="6" l="1"/>
  <c r="I8" i="5"/>
  <c r="M8" i="5"/>
  <c r="M10" i="5"/>
  <c r="I10" i="5"/>
  <c r="M11" i="5"/>
  <c r="I11" i="5"/>
  <c r="I144" i="1"/>
  <c r="E9" i="4" s="1"/>
  <c r="E9" i="5" s="1"/>
  <c r="F9" i="4"/>
  <c r="F9" i="5" s="1"/>
  <c r="Q9" i="5" s="1"/>
  <c r="S8" i="5"/>
  <c r="R8" i="5"/>
  <c r="N8" i="5"/>
  <c r="C44" i="5" s="1"/>
  <c r="J8" i="5"/>
  <c r="C25" i="5" s="1"/>
  <c r="O8" i="5"/>
  <c r="K8" i="5"/>
  <c r="R10" i="5"/>
  <c r="S10" i="5"/>
  <c r="K10" i="5"/>
  <c r="N10" i="5"/>
  <c r="C45" i="5" s="1"/>
  <c r="J10" i="5"/>
  <c r="C27" i="5" s="1"/>
  <c r="O10" i="5"/>
  <c r="R11" i="5"/>
  <c r="S11" i="5"/>
  <c r="K11" i="5"/>
  <c r="O11" i="5"/>
  <c r="J11" i="5"/>
  <c r="C26" i="5" s="1"/>
  <c r="N11" i="5"/>
  <c r="C43" i="5" s="1"/>
  <c r="E135" i="1"/>
  <c r="E136" i="1" s="1"/>
  <c r="I9" i="5" l="1"/>
  <c r="M9" i="5"/>
  <c r="E144" i="1"/>
  <c r="E18" i="4" s="1"/>
  <c r="E18" i="5" s="1"/>
  <c r="F18" i="4"/>
  <c r="F18" i="5" s="1"/>
  <c r="Q18" i="5" s="1"/>
  <c r="R9" i="5"/>
  <c r="R15" i="5" s="1"/>
  <c r="S9" i="5"/>
  <c r="S15" i="5" s="1"/>
  <c r="Q16" i="5"/>
  <c r="N9" i="5"/>
  <c r="J9" i="5"/>
  <c r="M15" i="5"/>
  <c r="O9" i="5"/>
  <c r="O13" i="5" s="1"/>
  <c r="I16" i="5"/>
  <c r="K9" i="5"/>
  <c r="K14" i="5" s="1"/>
  <c r="I18" i="5" l="1"/>
  <c r="M18" i="5"/>
  <c r="N15" i="5"/>
  <c r="C42" i="5"/>
  <c r="J14" i="5"/>
  <c r="C24" i="5"/>
  <c r="M16" i="5"/>
  <c r="M13" i="5"/>
  <c r="R13" i="5"/>
  <c r="K16" i="5"/>
  <c r="J15" i="5"/>
  <c r="K15" i="5"/>
  <c r="J16" i="5"/>
  <c r="K13" i="5"/>
  <c r="J13" i="5"/>
  <c r="S13" i="5"/>
  <c r="R14" i="5"/>
  <c r="N14" i="5"/>
  <c r="S16" i="5"/>
  <c r="Q15" i="5"/>
  <c r="Q14" i="5"/>
  <c r="I13" i="5"/>
  <c r="M14" i="5"/>
  <c r="N16" i="5"/>
  <c r="O16" i="5"/>
  <c r="I14" i="5"/>
  <c r="Q13" i="5"/>
  <c r="I15" i="5"/>
  <c r="N13" i="5"/>
  <c r="O14" i="5"/>
  <c r="S14" i="5"/>
  <c r="R16" i="5"/>
  <c r="S18" i="5"/>
  <c r="R18" i="5"/>
  <c r="O15" i="5"/>
  <c r="J18" i="5"/>
  <c r="C23" i="5" s="1"/>
  <c r="K18" i="5"/>
  <c r="O18" i="5"/>
  <c r="N18" i="5"/>
  <c r="C41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</author>
  </authors>
  <commentList>
    <comment ref="A1" authorId="0" shapeId="0" xr:uid="{50D4FC1B-3913-410D-9D4D-9736EE4A6E9E}">
      <text>
        <r>
          <rPr>
            <b/>
            <sz val="9"/>
            <color indexed="81"/>
            <rFont val="Tahoma"/>
            <family val="2"/>
          </rPr>
          <t>&lt;?xml version="1.0" encoding="utf-8"?&gt;&lt;Schema xmlns:xsd="http://www.w3.org/2001/XMLSchema" xmlns:xsi="http://www.w3.org/2001/XMLSchema-instance" Version="2" Timestamp="1709012989"&gt;&lt;FQL&gt;&lt;Q&gt;EXTR^P(01/17/2023)&lt;/Q&gt;&lt;R&gt;1&lt;/R&gt;&lt;C&gt;1&lt;/C&gt;&lt;D xsi:type="xsd:double"&gt;19.77&lt;/D&gt;&lt;/FQL&gt;&lt;FQL&gt;&lt;Q&gt;EXTR^P(02/23/2023)&lt;/Q&gt;&lt;R&gt;1&lt;/R&gt;&lt;C&gt;1&lt;/C&gt;&lt;D xsi:type="xsd:double"&gt;19.14&lt;/D&gt;&lt;/FQL&gt;&lt;FQL&gt;&lt;Q&gt;JNPR-US^P(02/23/2023)&lt;/Q&gt;&lt;R&gt;1&lt;/R&gt;&lt;C&gt;1&lt;/C&gt;&lt;D xsi:type="xsd:double"&gt;31.47&lt;/D&gt;&lt;/FQL&gt;&lt;FQL&gt;&lt;Q&gt;HPE-US^P(02/23/2023)&lt;/Q&gt;&lt;R&gt;1&lt;/R&gt;&lt;C&gt;1&lt;/C&gt;&lt;D xsi:type="xsd:double"&gt;15.74&lt;/D&gt;&lt;/FQL&gt;&lt;FQL&gt;&lt;Q&gt;ANET-US^P(02/23/2023)&lt;/Q&gt;&lt;R&gt;1&lt;/R&gt;&lt;C&gt;1&lt;/C&gt;&lt;D xsi:type="xsd:double"&gt;136.84&lt;/D&gt;&lt;/FQL&gt;&lt;FQL&gt;&lt;Q&gt;CSCO-US^P(02/23/2023)&lt;/Q&gt;&lt;R&gt;1&lt;/R&gt;&lt;C&gt;1&lt;/C&gt;&lt;D xsi:type="xsd:double"&gt;49.21&lt;/D&gt;&lt;/FQL&gt;&lt;FQL&gt;&lt;Q&gt;JNPR-US^P(02/23/2024)&lt;/Q&gt;&lt;R&gt;1&lt;/R&gt;&lt;C&gt;1&lt;/C&gt;&lt;D xsi:type="xsd:double"&gt;37.18&lt;/D&gt;&lt;/FQL&gt;&lt;FQL&gt;&lt;Q&gt;HPE-US^P(02/23/2024)&lt;/Q&gt;&lt;R&gt;1&lt;/R&gt;&lt;C&gt;1&lt;/C&gt;&lt;D xsi:type="xsd:double"&gt;15.11&lt;/D&gt;&lt;/FQL&gt;&lt;FQL&gt;&lt;Q&gt;ANET-US^P(02/23/2024)&lt;/Q&gt;&lt;R&gt;1&lt;/R&gt;&lt;C&gt;1&lt;/C&gt;&lt;D xsi:type="xsd:double"&gt;267.66&lt;/D&gt;&lt;/FQL&gt;&lt;FQL&gt;&lt;Q&gt;CSCO-US^P(02/23/2024)&lt;/Q&gt;&lt;R&gt;1&lt;/R&gt;&lt;C&gt;1&lt;/C&gt;&lt;D xsi:type="xsd:double"&gt;48.86&lt;/D&gt;&lt;/FQL&gt;&lt;FQL&gt;&lt;Q&gt;EXTR-US^P(02/23/2024)&lt;/Q&gt;&lt;R&gt;1&lt;/R&gt;&lt;C&gt;1&lt;/C&gt;&lt;D xsi:type="xsd:double"&gt;12.38&lt;/D&gt;&lt;/FQL&gt;&lt;/Schema&gt;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</author>
  </authors>
  <commentList>
    <comment ref="E19" authorId="0" shapeId="0" xr:uid="{417DA7E1-9C36-417B-A781-3E21E71EB589}">
      <text>
        <r>
          <rPr>
            <sz val="9"/>
            <color indexed="81"/>
            <rFont val="Tahoma"/>
            <family val="2"/>
          </rPr>
          <t>Cover of 12.31.2023 10Q</t>
        </r>
      </text>
    </comment>
    <comment ref="G19" authorId="0" shapeId="0" xr:uid="{807A7A40-64A8-4E26-9E84-A0C3BEEF072D}">
      <text>
        <r>
          <rPr>
            <sz val="9"/>
            <color indexed="81"/>
            <rFont val="Tahoma"/>
            <family val="2"/>
          </rPr>
          <t>Cover of 1.27.24 10Q</t>
        </r>
      </text>
    </comment>
    <comment ref="I19" authorId="0" shapeId="0" xr:uid="{A3204595-CDC9-4B89-9325-61F539BC0C06}">
      <text>
        <r>
          <rPr>
            <sz val="9"/>
            <color indexed="81"/>
            <rFont val="Tahoma"/>
            <family val="2"/>
          </rPr>
          <t>Cover of 12.31.23 10K</t>
        </r>
      </text>
    </comment>
    <comment ref="K19" authorId="0" shapeId="0" xr:uid="{F3922333-CD8E-4ACA-91BE-2224911CCD64}">
      <text>
        <r>
          <rPr>
            <sz val="9"/>
            <color indexed="81"/>
            <rFont val="Tahoma"/>
            <family val="2"/>
          </rPr>
          <t>Cover of 10.31.23 10K</t>
        </r>
      </text>
    </comment>
    <comment ref="M19" authorId="0" shapeId="0" xr:uid="{10352988-AC3C-4566-A1F4-EBAAABC25735}">
      <text>
        <r>
          <rPr>
            <sz val="9"/>
            <color indexed="81"/>
            <rFont val="Tahoma"/>
            <family val="2"/>
          </rPr>
          <t>Cover of 12.31.23 10K filing</t>
        </r>
      </text>
    </comment>
    <comment ref="E20" authorId="0" shapeId="0" xr:uid="{E3510E6D-BBA5-41B9-B93A-56B2720998CF}">
      <text>
        <r>
          <rPr>
            <sz val="9"/>
            <color indexed="81"/>
            <rFont val="Tahoma"/>
            <family val="2"/>
          </rPr>
          <t>Page 19 of 12.31.2023 10Q</t>
        </r>
      </text>
    </comment>
    <comment ref="G20" authorId="0" shapeId="0" xr:uid="{E1D41CD6-6CE2-413E-8720-4DFBD53C796A}">
      <text>
        <r>
          <rPr>
            <sz val="9"/>
            <color indexed="81"/>
            <rFont val="Tahoma"/>
            <family val="2"/>
          </rPr>
          <t>Page 35 of 1.27.24 10Q</t>
        </r>
      </text>
    </comment>
    <comment ref="I20" authorId="0" shapeId="0" xr:uid="{6C0AEC8E-96F1-4EA5-9621-053B19A2E213}">
      <text>
        <r>
          <rPr>
            <sz val="9"/>
            <color indexed="81"/>
            <rFont val="Tahoma"/>
            <family val="2"/>
          </rPr>
          <t>Page 97 of 12/31/23 10K</t>
        </r>
      </text>
    </comment>
    <comment ref="K20" authorId="0" shapeId="0" xr:uid="{7966ABA9-18FA-45F4-94F1-D3B433DA6551}">
      <text>
        <r>
          <rPr>
            <sz val="9"/>
            <color indexed="81"/>
            <rFont val="Tahoma"/>
            <family val="2"/>
          </rPr>
          <t>Page 94 of 10.31.23 10K</t>
        </r>
      </text>
    </comment>
    <comment ref="M20" authorId="0" shapeId="0" xr:uid="{EE29C05A-4CE2-40F8-A6CF-A515E63B8FA7}">
      <text>
        <r>
          <rPr>
            <sz val="9"/>
            <color indexed="81"/>
            <rFont val="Tahoma"/>
            <family val="2"/>
          </rPr>
          <t>Page 98 of 12.31.23 10K</t>
        </r>
      </text>
    </comment>
    <comment ref="E26" authorId="0" shapeId="0" xr:uid="{E540F7D5-3A44-489A-A5BB-13CB189321CB}">
      <text>
        <r>
          <rPr>
            <sz val="9"/>
            <color indexed="81"/>
            <rFont val="Tahoma"/>
            <family val="2"/>
          </rPr>
          <t>Page 18 of 12.31.2023 10Q</t>
        </r>
      </text>
    </comment>
    <comment ref="I26" authorId="0" shapeId="0" xr:uid="{271074F6-FC85-440D-985B-FF9F1591BFB7}">
      <text>
        <r>
          <rPr>
            <sz val="9"/>
            <color indexed="81"/>
            <rFont val="Tahoma"/>
            <family val="2"/>
          </rPr>
          <t>Page 97 of 12/31/23 10K</t>
        </r>
      </text>
    </comment>
    <comment ref="E27" authorId="0" shapeId="0" xr:uid="{B8BD02DA-5ED9-4106-8050-1BB89EAB919D}">
      <text>
        <r>
          <rPr>
            <sz val="9"/>
            <color indexed="81"/>
            <rFont val="Tahoma"/>
            <family val="2"/>
          </rPr>
          <t>Page 18 of 12.31.2023 10Q</t>
        </r>
      </text>
    </comment>
    <comment ref="I27" authorId="0" shapeId="0" xr:uid="{B571785C-741C-4657-A578-494804789CAF}">
      <text>
        <r>
          <rPr>
            <sz val="9"/>
            <color indexed="81"/>
            <rFont val="Tahoma"/>
            <family val="2"/>
          </rPr>
          <t>Page 97 of 12/31/23 10K</t>
        </r>
      </text>
    </comment>
    <comment ref="E104" authorId="0" shapeId="0" xr:uid="{26ABD0CD-C246-4663-8C85-A924F2762DAF}">
      <text>
        <r>
          <rPr>
            <sz val="9"/>
            <color indexed="81"/>
            <rFont val="Tahoma"/>
            <family val="2"/>
          </rPr>
          <t>Page 3 of 12.31.2023 10Q</t>
        </r>
      </text>
    </comment>
    <comment ref="G104" authorId="0" shapeId="0" xr:uid="{1B9DC202-C134-494D-B09D-F6633E9A215F}">
      <text>
        <r>
          <rPr>
            <sz val="9"/>
            <color indexed="81"/>
            <rFont val="Tahoma"/>
            <family val="2"/>
          </rPr>
          <t>Page 3 of 1.27.24 10Q</t>
        </r>
      </text>
    </comment>
    <comment ref="I104" authorId="0" shapeId="0" xr:uid="{A3B16384-2BC4-4692-BBDC-F3DB7872ABAC}">
      <text>
        <r>
          <rPr>
            <sz val="9"/>
            <color indexed="81"/>
            <rFont val="Tahoma"/>
            <family val="2"/>
          </rPr>
          <t>Page 72 of 12/31/23 10-K</t>
        </r>
      </text>
    </comment>
    <comment ref="K104" authorId="0" shapeId="0" xr:uid="{FAEDD430-E6A6-4EDE-9E0C-624779BF3A5E}">
      <text>
        <r>
          <rPr>
            <sz val="9"/>
            <color indexed="81"/>
            <rFont val="Tahoma"/>
            <family val="2"/>
          </rPr>
          <t>Page 68 of 10.31.23 10K</t>
        </r>
      </text>
    </comment>
    <comment ref="M104" authorId="0" shapeId="0" xr:uid="{0AFE4A0D-B388-4C11-A512-579462614FD8}">
      <text>
        <r>
          <rPr>
            <sz val="9"/>
            <color indexed="81"/>
            <rFont val="Tahoma"/>
            <family val="2"/>
          </rPr>
          <t>Page 68 of 2023 10K</t>
        </r>
      </text>
    </comment>
    <comment ref="M114" authorId="0" shapeId="0" xr:uid="{84904D90-65AF-4589-9F9F-D1C6A9AB53E7}">
      <text>
        <r>
          <rPr>
            <sz val="9"/>
            <color indexed="81"/>
            <rFont val="Tahoma"/>
            <family val="2"/>
          </rPr>
          <t>Page 81 of 12.31.23 10K. Amount included in "prepaids" or "other LT Assets"</t>
        </r>
      </text>
    </comment>
    <comment ref="E149" authorId="0" shapeId="0" xr:uid="{9650FE5A-2B30-44D8-8D11-1102C816F2D1}">
      <text>
        <r>
          <rPr>
            <sz val="9"/>
            <color indexed="81"/>
            <rFont val="Tahoma"/>
            <family val="2"/>
          </rPr>
          <t>Page 50 of 6.30.2023 10K</t>
        </r>
      </text>
    </comment>
    <comment ref="G149" authorId="0" shapeId="0" xr:uid="{EAB3E86C-4839-4BE2-986D-0AED7483D2D3}">
      <text>
        <r>
          <rPr>
            <sz val="9"/>
            <color indexed="81"/>
            <rFont val="Tahoma"/>
            <family val="2"/>
          </rPr>
          <t>Page 59 of 7.29.23 10K</t>
        </r>
      </text>
    </comment>
    <comment ref="I149" authorId="0" shapeId="0" xr:uid="{4EC1E4A2-1537-42CD-BC43-39E5E009617E}">
      <text>
        <r>
          <rPr>
            <sz val="9"/>
            <color indexed="81"/>
            <rFont val="Tahoma"/>
            <family val="2"/>
          </rPr>
          <t>Page 73 of 12.31.23 10K</t>
        </r>
      </text>
    </comment>
    <comment ref="K149" authorId="0" shapeId="0" xr:uid="{6CB72494-46A3-4113-938D-26141EC63B4D}">
      <text>
        <r>
          <rPr>
            <sz val="9"/>
            <color indexed="81"/>
            <rFont val="Tahoma"/>
            <family val="2"/>
          </rPr>
          <t>Page 66 of 10.31.23 10K</t>
        </r>
      </text>
    </comment>
    <comment ref="M149" authorId="0" shapeId="0" xr:uid="{284D838F-72E8-4500-B357-0D2678FE9E47}">
      <text>
        <r>
          <rPr>
            <sz val="9"/>
            <color indexed="81"/>
            <rFont val="Tahoma"/>
            <family val="2"/>
          </rPr>
          <t>Page 66 of 2023 10K</t>
        </r>
      </text>
    </comment>
    <comment ref="E162" authorId="0" shapeId="0" xr:uid="{940D95A3-794C-472E-B033-37E3FFE5C58D}">
      <text>
        <r>
          <rPr>
            <sz val="9"/>
            <color indexed="81"/>
            <rFont val="Tahoma"/>
            <family val="2"/>
          </rPr>
          <t>Note, "Depreciation and Amortization" includes cash flow depr. And amort. Less the 8-K Non-GAAP Amort add-back</t>
        </r>
      </text>
    </comment>
    <comment ref="G162" authorId="0" shapeId="0" xr:uid="{A262F32F-DD51-43C5-A485-889E5F4A375D}">
      <text>
        <r>
          <rPr>
            <sz val="9"/>
            <color indexed="81"/>
            <rFont val="Tahoma"/>
            <family val="2"/>
          </rPr>
          <t>Adjusted for Non-GAAP Operating Adjustment per 7.29.23 8K</t>
        </r>
      </text>
    </comment>
    <comment ref="I162" authorId="0" shapeId="0" xr:uid="{761E99DB-4926-40C0-B516-ADC909513EF4}">
      <text>
        <r>
          <rPr>
            <sz val="9"/>
            <color indexed="81"/>
            <rFont val="Tahoma"/>
            <family val="2"/>
          </rPr>
          <t>Adjusted for Non-GAAP Operating Adjustment related to "Intangible asset amortization" per 8K reconciliation on page 6</t>
        </r>
      </text>
    </comment>
    <comment ref="K162" authorId="0" shapeId="0" xr:uid="{025689B6-9ED5-40C0-94FD-978C43EAE7C0}">
      <text>
        <r>
          <rPr>
            <sz val="9"/>
            <color indexed="81"/>
            <rFont val="Tahoma"/>
            <family val="2"/>
          </rPr>
          <t>Adjusted for Non-GAAP Operating Adjustment related to "Amortization of Intangible Assets" per 8K reconciliation on page 15</t>
        </r>
      </text>
    </comment>
    <comment ref="M162" authorId="0" shapeId="0" xr:uid="{5ACB0310-6E05-43FD-AD0A-7AC9D699999B}">
      <text>
        <r>
          <rPr>
            <sz val="9"/>
            <color indexed="81"/>
            <rFont val="Tahoma"/>
            <family val="2"/>
          </rPr>
          <t>Adjusted for Non-GAAP Operating Adjustment related to "Amortization of Purchases Intangible Assets" per 8K reconciliation on page 8</t>
        </r>
      </text>
    </comment>
    <comment ref="E166" authorId="0" shapeId="0" xr:uid="{3BC2B5D2-FADC-4265-8C50-2FEF8FE2CDFF}">
      <text>
        <r>
          <rPr>
            <sz val="9"/>
            <color indexed="81"/>
            <rFont val="Tahoma"/>
            <family val="2"/>
          </rPr>
          <t>PDF Page 16 of 6.30.2023 8K</t>
        </r>
      </text>
    </comment>
    <comment ref="G166" authorId="0" shapeId="0" xr:uid="{1AB5A355-E99B-4675-85EC-0E5DD4360AC4}">
      <text>
        <r>
          <rPr>
            <b/>
            <sz val="9"/>
            <color indexed="81"/>
            <rFont val="Tahoma"/>
            <family val="2"/>
          </rPr>
          <t>A:</t>
        </r>
        <r>
          <rPr>
            <sz val="9"/>
            <color indexed="81"/>
            <rFont val="Tahoma"/>
            <family val="2"/>
          </rPr>
          <t xml:space="preserve">
Page 13 of 7.29.23 8K</t>
        </r>
      </text>
    </comment>
    <comment ref="I166" authorId="0" shapeId="0" xr:uid="{29E42569-771B-4928-9637-258E631A7F22}">
      <text>
        <r>
          <rPr>
            <sz val="9"/>
            <color indexed="81"/>
            <rFont val="Tahoma"/>
            <family val="2"/>
          </rPr>
          <t>Page 6 of 12.31.23 8K</t>
        </r>
      </text>
    </comment>
    <comment ref="K166" authorId="0" shapeId="0" xr:uid="{258C52B7-7401-405B-81A2-9D456A8A77EE}">
      <text>
        <r>
          <rPr>
            <b/>
            <sz val="9"/>
            <color indexed="81"/>
            <rFont val="Tahoma"/>
            <family val="2"/>
          </rPr>
          <t>A:</t>
        </r>
        <r>
          <rPr>
            <sz val="9"/>
            <color indexed="81"/>
            <rFont val="Tahoma"/>
            <family val="2"/>
          </rPr>
          <t xml:space="preserve">
Page 15 of 10.31.23 8K</t>
        </r>
      </text>
    </comment>
    <comment ref="M166" authorId="0" shapeId="0" xr:uid="{0A4893C9-382D-443A-8E08-6FEC2BBEAA12}">
      <text>
        <r>
          <rPr>
            <sz val="9"/>
            <color indexed="81"/>
            <rFont val="Tahoma"/>
            <family val="2"/>
          </rPr>
          <t>Page 8 of 12.31.23 8K</t>
        </r>
      </text>
    </comment>
    <comment ref="E167" authorId="0" shapeId="0" xr:uid="{936065C6-4535-435F-9F4C-3746360D680E}">
      <text>
        <r>
          <rPr>
            <sz val="9"/>
            <color indexed="81"/>
            <rFont val="Tahoma"/>
            <family val="2"/>
          </rPr>
          <t>PDF Page 17 of 6.30.2023 8K</t>
        </r>
      </text>
    </comment>
    <comment ref="G167" authorId="0" shapeId="0" xr:uid="{947F7D6C-60B4-4A73-B4E3-B718C0D2834B}">
      <text>
        <r>
          <rPr>
            <b/>
            <sz val="9"/>
            <color indexed="81"/>
            <rFont val="Tahoma"/>
            <family val="2"/>
          </rPr>
          <t>A:</t>
        </r>
        <r>
          <rPr>
            <sz val="9"/>
            <color indexed="81"/>
            <rFont val="Tahoma"/>
            <family val="2"/>
          </rPr>
          <t xml:space="preserve">
Page 13 of 7.29.23 8K</t>
        </r>
      </text>
    </comment>
    <comment ref="I167" authorId="0" shapeId="0" xr:uid="{526EB86E-A8C6-465D-86BE-8632570E0C1B}">
      <text>
        <r>
          <rPr>
            <sz val="9"/>
            <color indexed="81"/>
            <rFont val="Tahoma"/>
            <family val="2"/>
          </rPr>
          <t>Page 6 of 12.31.23 8K</t>
        </r>
      </text>
    </comment>
    <comment ref="K167" authorId="0" shapeId="0" xr:uid="{5E98B731-F80C-44E2-A518-B1ACAFAE4A03}">
      <text>
        <r>
          <rPr>
            <b/>
            <sz val="9"/>
            <color indexed="81"/>
            <rFont val="Tahoma"/>
            <family val="2"/>
          </rPr>
          <t>A:</t>
        </r>
        <r>
          <rPr>
            <sz val="9"/>
            <color indexed="81"/>
            <rFont val="Tahoma"/>
            <family val="2"/>
          </rPr>
          <t xml:space="preserve">
Page 15 of 10.31.23 8K</t>
        </r>
      </text>
    </comment>
    <comment ref="M167" authorId="0" shapeId="0" xr:uid="{5FC7BFAB-3FCB-4F85-A14B-9781DD1BE0DF}">
      <text>
        <r>
          <rPr>
            <sz val="9"/>
            <color indexed="81"/>
            <rFont val="Tahoma"/>
            <family val="2"/>
          </rPr>
          <t>Page 8 of 12.31.23 8K
Plugged with 6.99999 to match company filing. Associated with reclassification of items B per page 8 of 8K</t>
        </r>
      </text>
    </comment>
    <comment ref="E168" authorId="0" shapeId="0" xr:uid="{ED242593-951F-4F0C-9B9C-657D6FBDCBAA}">
      <text>
        <r>
          <rPr>
            <sz val="9"/>
            <color indexed="81"/>
            <rFont val="Tahoma"/>
            <family val="2"/>
          </rPr>
          <t>PDF Page 17 of 6.30.2023 8K</t>
        </r>
      </text>
    </comment>
    <comment ref="G168" authorId="0" shapeId="0" xr:uid="{88B8FF2F-BAFE-414F-B969-891F01C4CC2F}">
      <text>
        <r>
          <rPr>
            <b/>
            <sz val="9"/>
            <color indexed="81"/>
            <rFont val="Tahoma"/>
            <family val="2"/>
          </rPr>
          <t>A:</t>
        </r>
        <r>
          <rPr>
            <sz val="9"/>
            <color indexed="81"/>
            <rFont val="Tahoma"/>
            <family val="2"/>
          </rPr>
          <t xml:space="preserve">
Page 13 of 7.29.23 8K</t>
        </r>
      </text>
    </comment>
    <comment ref="I168" authorId="0" shapeId="0" xr:uid="{B9072450-6622-429B-BE6B-FB08261BDCA6}">
      <text>
        <r>
          <rPr>
            <sz val="9"/>
            <color indexed="81"/>
            <rFont val="Tahoma"/>
            <family val="2"/>
          </rPr>
          <t>Page 6 of 12.31.23 8K</t>
        </r>
      </text>
    </comment>
    <comment ref="K168" authorId="0" shapeId="0" xr:uid="{657AB09C-C094-4A74-9D15-223B6BCF5D5C}">
      <text>
        <r>
          <rPr>
            <b/>
            <sz val="9"/>
            <color indexed="81"/>
            <rFont val="Tahoma"/>
            <family val="2"/>
          </rPr>
          <t>A:</t>
        </r>
        <r>
          <rPr>
            <sz val="9"/>
            <color indexed="81"/>
            <rFont val="Tahoma"/>
            <family val="2"/>
          </rPr>
          <t xml:space="preserve">
Page 15 of 10.31.23 8K</t>
        </r>
      </text>
    </comment>
    <comment ref="M168" authorId="0" shapeId="0" xr:uid="{A3B9C26F-3C41-4DDB-B28A-2D587D0DD577}">
      <text>
        <r>
          <rPr>
            <b/>
            <sz val="9"/>
            <color indexed="81"/>
            <rFont val="Tahoma"/>
            <family val="2"/>
          </rPr>
          <t>A:</t>
        </r>
        <r>
          <rPr>
            <sz val="9"/>
            <color indexed="81"/>
            <rFont val="Tahoma"/>
            <family val="2"/>
          </rPr>
          <t xml:space="preserve">
Page 8 of 12.31.23 8K</t>
        </r>
      </text>
    </comment>
    <comment ref="E176" authorId="0" shapeId="0" xr:uid="{75F9EE8E-8E10-480A-A231-EA048FEB86CB}">
      <text>
        <r>
          <rPr>
            <sz val="9"/>
            <color indexed="81"/>
            <rFont val="Tahoma"/>
            <family val="2"/>
          </rPr>
          <t>Page 4 of 12.31.2023 10Q</t>
        </r>
      </text>
    </comment>
    <comment ref="G176" authorId="0" shapeId="0" xr:uid="{709F362F-E738-45B5-9BC5-FB692BC82DD6}">
      <text>
        <r>
          <rPr>
            <sz val="9"/>
            <color indexed="81"/>
            <rFont val="Tahoma"/>
            <family val="2"/>
          </rPr>
          <t>Page 4 of 1.27.24 10Q</t>
        </r>
      </text>
    </comment>
    <comment ref="E189" authorId="0" shapeId="0" xr:uid="{7169A3C8-DADC-4D3A-8245-370D7CA33527}">
      <text>
        <r>
          <rPr>
            <sz val="9"/>
            <color indexed="81"/>
            <rFont val="Tahoma"/>
            <family val="2"/>
          </rPr>
          <t>Adjusted for Non-GAAP Amort add-back</t>
        </r>
      </text>
    </comment>
    <comment ref="G189" authorId="0" shapeId="0" xr:uid="{8439B763-EFE1-41C9-B52D-4E1420A9324F}">
      <text>
        <r>
          <rPr>
            <sz val="9"/>
            <color indexed="81"/>
            <rFont val="Tahoma"/>
            <family val="2"/>
          </rPr>
          <t>Adjusted for Non-GAAP Operating Adjustment per 1.27.24 8K</t>
        </r>
      </text>
    </comment>
    <comment ref="E191" authorId="0" shapeId="0" xr:uid="{35299B02-CBD1-4B66-8A3D-A092358C90FB}">
      <text>
        <r>
          <rPr>
            <sz val="9"/>
            <color indexed="81"/>
            <rFont val="Tahoma"/>
            <family val="2"/>
          </rPr>
          <t>PDF Page 16 of 12.31.23 8-K</t>
        </r>
      </text>
    </comment>
    <comment ref="G191" authorId="0" shapeId="0" xr:uid="{992B229C-2550-4352-8081-F99A24893C33}">
      <text>
        <r>
          <rPr>
            <sz val="9"/>
            <color indexed="81"/>
            <rFont val="Tahoma"/>
            <family val="2"/>
          </rPr>
          <t>Page 13 of 1.27.24 8K</t>
        </r>
      </text>
    </comment>
    <comment ref="E192" authorId="0" shapeId="0" xr:uid="{DC18FCE7-1EFA-4946-9B6F-143DD38322C3}">
      <text>
        <r>
          <rPr>
            <sz val="9"/>
            <color indexed="81"/>
            <rFont val="Tahoma"/>
            <family val="2"/>
          </rPr>
          <t>PDF Page 17 of 12.31.23 8-K</t>
        </r>
      </text>
    </comment>
    <comment ref="G192" authorId="0" shapeId="0" xr:uid="{B4CA4644-8C3C-4875-868F-EB5EC1F462DB}">
      <text>
        <r>
          <rPr>
            <sz val="9"/>
            <color indexed="81"/>
            <rFont val="Tahoma"/>
            <family val="2"/>
          </rPr>
          <t>Page 13 of 1.27.24 8K</t>
        </r>
      </text>
    </comment>
    <comment ref="E193" authorId="0" shapeId="0" xr:uid="{FEAE3763-16B9-4FDD-AAB6-2A8E8D96C5BD}">
      <text>
        <r>
          <rPr>
            <sz val="9"/>
            <color indexed="81"/>
            <rFont val="Tahoma"/>
            <family val="2"/>
          </rPr>
          <t>PDF Page 17 of 12.31.23 8-K</t>
        </r>
      </text>
    </comment>
    <comment ref="G193" authorId="0" shapeId="0" xr:uid="{CD8C94D7-1893-458C-BD95-8D66441BE06B}">
      <text>
        <r>
          <rPr>
            <sz val="9"/>
            <color indexed="81"/>
            <rFont val="Tahoma"/>
            <family val="2"/>
          </rPr>
          <t>Page 13 of 1.27.24 8K</t>
        </r>
      </text>
    </comment>
    <comment ref="E202" authorId="0" shapeId="0" xr:uid="{C053D3B9-D19B-424E-81B6-82AC3B8BB00A}">
      <text>
        <r>
          <rPr>
            <sz val="9"/>
            <color indexed="81"/>
            <rFont val="Tahoma"/>
            <family val="2"/>
          </rPr>
          <t>Page 4 of 12.31.2023 10Q</t>
        </r>
      </text>
    </comment>
    <comment ref="G202" authorId="0" shapeId="0" xr:uid="{FA4C9669-10D8-4103-97B3-F707DE8E0F2C}">
      <text>
        <r>
          <rPr>
            <sz val="9"/>
            <color indexed="81"/>
            <rFont val="Tahoma"/>
            <family val="2"/>
          </rPr>
          <t>Page 4 of 1.27.24 10Q</t>
        </r>
      </text>
    </comment>
    <comment ref="E215" authorId="0" shapeId="0" xr:uid="{0C140067-44F2-4733-BFFC-DE275CE09713}">
      <text>
        <r>
          <rPr>
            <sz val="9"/>
            <color indexed="81"/>
            <rFont val="Tahoma"/>
            <family val="2"/>
          </rPr>
          <t>Adjusted for Non-GAAP Amort add-back</t>
        </r>
      </text>
    </comment>
    <comment ref="G215" authorId="0" shapeId="0" xr:uid="{8DA47FE0-1A98-4A4D-9644-35E7212AE62D}">
      <text>
        <r>
          <rPr>
            <sz val="9"/>
            <color indexed="81"/>
            <rFont val="Tahoma"/>
            <family val="2"/>
          </rPr>
          <t>Adjusted for Non-GAAP Operating Adjustment per 1.27.24 8K</t>
        </r>
      </text>
    </comment>
    <comment ref="E217" authorId="0" shapeId="0" xr:uid="{774B59EE-E46E-4DDF-8722-3C2798743A00}">
      <text>
        <r>
          <rPr>
            <sz val="9"/>
            <color indexed="81"/>
            <rFont val="Tahoma"/>
            <family val="2"/>
          </rPr>
          <t>PDF Page 16 of 9.30.23 8-K</t>
        </r>
      </text>
    </comment>
    <comment ref="G217" authorId="0" shapeId="0" xr:uid="{2FE55721-8E01-4C27-844F-CA3056CDBBDF}">
      <text>
        <r>
          <rPr>
            <sz val="9"/>
            <color indexed="81"/>
            <rFont val="Tahoma"/>
            <family val="2"/>
          </rPr>
          <t>Page 13 of 1.27.24 8K</t>
        </r>
      </text>
    </comment>
    <comment ref="E218" authorId="0" shapeId="0" xr:uid="{ECA8AE4A-4C46-4A46-8319-8BF8B2E9AB4E}">
      <text>
        <r>
          <rPr>
            <sz val="9"/>
            <color indexed="81"/>
            <rFont val="Tahoma"/>
            <family val="2"/>
          </rPr>
          <t>PDF Page 17 of 12.31.23 8-K</t>
        </r>
      </text>
    </comment>
    <comment ref="G218" authorId="0" shapeId="0" xr:uid="{9B2DFE0A-471B-418D-BE83-DDAA19586F73}">
      <text>
        <r>
          <rPr>
            <sz val="9"/>
            <color indexed="81"/>
            <rFont val="Tahoma"/>
            <family val="2"/>
          </rPr>
          <t>Page 13 of 1.27.24 8K</t>
        </r>
      </text>
    </comment>
    <comment ref="G219" authorId="0" shapeId="0" xr:uid="{9BBB7B98-1567-488B-A21E-381C6B61DDC1}">
      <text>
        <r>
          <rPr>
            <sz val="9"/>
            <color indexed="81"/>
            <rFont val="Tahoma"/>
            <family val="2"/>
          </rPr>
          <t>Page 13 of 1.27.24 8K</t>
        </r>
      </text>
    </comment>
  </commentList>
</comments>
</file>

<file path=xl/sharedStrings.xml><?xml version="1.0" encoding="utf-8"?>
<sst xmlns="http://schemas.openxmlformats.org/spreadsheetml/2006/main" count="450" uniqueCount="238">
  <si>
    <t>Comparable Company Inputs</t>
  </si>
  <si>
    <t>Refresh Date</t>
  </si>
  <si>
    <t>Company Name</t>
  </si>
  <si>
    <t>($ in millions, except per share data)</t>
  </si>
  <si>
    <t>Ticker</t>
  </si>
  <si>
    <t>Last Closing Price</t>
  </si>
  <si>
    <t>General Inputs</t>
  </si>
  <si>
    <t>Share Counts</t>
  </si>
  <si>
    <t>Source</t>
  </si>
  <si>
    <t>Basic Share Count</t>
  </si>
  <si>
    <t>Date of Source</t>
  </si>
  <si>
    <t>RSUs/PSUs/Other</t>
  </si>
  <si>
    <t>Total Basic Share Count</t>
  </si>
  <si>
    <t>Exercise Price</t>
  </si>
  <si>
    <t>Options Type</t>
  </si>
  <si>
    <t>Option Tranche 1</t>
  </si>
  <si>
    <t># Options Exercised</t>
  </si>
  <si>
    <t>Option Proceeds</t>
  </si>
  <si>
    <t>Option Tranche 2</t>
  </si>
  <si>
    <t>Option Tranche 3</t>
  </si>
  <si>
    <t>Option Tranche 4</t>
  </si>
  <si>
    <t>Option Tranche 5</t>
  </si>
  <si>
    <t>Option Tranche 6</t>
  </si>
  <si>
    <t>Option Tranche 7</t>
  </si>
  <si>
    <t>Option Tranche 8</t>
  </si>
  <si>
    <t>Option Tranche 9</t>
  </si>
  <si>
    <t>Option Tranche 10</t>
  </si>
  <si>
    <t>Total Options Exercised</t>
  </si>
  <si>
    <t>Total Proceeds from Options</t>
  </si>
  <si>
    <t>Share Repurchased</t>
  </si>
  <si>
    <t>Net Dilution from Options</t>
  </si>
  <si>
    <t>Warrant Tranche 1</t>
  </si>
  <si>
    <t>Warrant Tranche 2</t>
  </si>
  <si>
    <t># Warrants Exercised</t>
  </si>
  <si>
    <t>Warrants Proceeds</t>
  </si>
  <si>
    <t>Total Warrants Exercised</t>
  </si>
  <si>
    <t>Total Proceeds from Warrants</t>
  </si>
  <si>
    <t>Net Dilution from Warrants</t>
  </si>
  <si>
    <t>Dilution from Convertible Debt</t>
  </si>
  <si>
    <t>Dilution from Preferred Stock</t>
  </si>
  <si>
    <t>Fully Diluted Shares Outstanding</t>
  </si>
  <si>
    <t>Balance Sheet Data</t>
  </si>
  <si>
    <t>Short-Term Investments</t>
  </si>
  <si>
    <t>Long-Term Investments</t>
  </si>
  <si>
    <t>Cash &amp; Cash Equivalents</t>
  </si>
  <si>
    <t>Accounts Receivable</t>
  </si>
  <si>
    <t>Inventory</t>
  </si>
  <si>
    <t>Goodwill &amp; Intangibles</t>
  </si>
  <si>
    <t>Notes Payable</t>
  </si>
  <si>
    <t>Current Portion of Long-Term Debt</t>
  </si>
  <si>
    <t>Current Portion of Capitalized Leases</t>
  </si>
  <si>
    <t>Other Short-Term Debt</t>
  </si>
  <si>
    <t>Total Short-Term Debt</t>
  </si>
  <si>
    <t>Capitalized Leases</t>
  </si>
  <si>
    <t>Total Long-Term Debt</t>
  </si>
  <si>
    <t>Minority Interests</t>
  </si>
  <si>
    <t>Preferred Stock</t>
  </si>
  <si>
    <t>Cash</t>
  </si>
  <si>
    <t>Other Long-Term Debt</t>
  </si>
  <si>
    <t>Long-Term Debt</t>
  </si>
  <si>
    <t>Total Shareholders' Equity</t>
  </si>
  <si>
    <t>Historical Income Statement</t>
  </si>
  <si>
    <t>OPTIONS DETAIL (in millions)</t>
  </si>
  <si>
    <t>WARRANTS DETAIL (in millions)</t>
  </si>
  <si>
    <t>OTHER DILUTION</t>
  </si>
  <si>
    <t>LATEST FISCAL YEAR</t>
  </si>
  <si>
    <t>Revenue</t>
  </si>
  <si>
    <t>Gross Profit</t>
  </si>
  <si>
    <t>Operating Income (EBIT)</t>
  </si>
  <si>
    <t>Pre-tax Income (EBT)</t>
  </si>
  <si>
    <t>Tax (expense) / benefit</t>
  </si>
  <si>
    <t>Net Income</t>
  </si>
  <si>
    <t>Diluted Weighted Avg. Shares</t>
  </si>
  <si>
    <t>Depreciation &amp; Amortization</t>
  </si>
  <si>
    <t>Non-GAAP Operating Adjustments</t>
  </si>
  <si>
    <t>Non-GAAP Non-Operating Adjustments</t>
  </si>
  <si>
    <t>Tax Effect on Non-GAAP Adjustments</t>
  </si>
  <si>
    <t>Adjusted EBIT</t>
  </si>
  <si>
    <t>Adjusted EBITDA</t>
  </si>
  <si>
    <t>Adjusted Net Income</t>
  </si>
  <si>
    <t>COGS (enter as -)</t>
  </si>
  <si>
    <t>Operating Expenses</t>
  </si>
  <si>
    <t>Non-operating (expense) / benefit</t>
  </si>
  <si>
    <t>Calculated Tax Rate</t>
  </si>
  <si>
    <t>LATEST FISCAL QUARTERS (YTD)</t>
  </si>
  <si>
    <t>Financial Data and Forecasts</t>
  </si>
  <si>
    <t>FISCAL YEAR END</t>
  </si>
  <si>
    <t>EXTR</t>
  </si>
  <si>
    <t>Last Fiscal Year</t>
  </si>
  <si>
    <t>FY1</t>
  </si>
  <si>
    <t>FY2</t>
  </si>
  <si>
    <t>FY3</t>
  </si>
  <si>
    <t>LTM SUMMARY</t>
  </si>
  <si>
    <t>LTM Revenue</t>
  </si>
  <si>
    <t>LTM Adjusted EBITDA</t>
  </si>
  <si>
    <t>LTM Adjusted EBIT</t>
  </si>
  <si>
    <t>LTM Adjusted Net Income</t>
  </si>
  <si>
    <t>PRIOR FISCAL QUARTERS (YTD -1)</t>
  </si>
  <si>
    <t>Adjusted EPS</t>
  </si>
  <si>
    <t>LTM Adjusted EPS</t>
  </si>
  <si>
    <t>Extreme Networks</t>
  </si>
  <si>
    <t>CALENDARIZED FORECASTS</t>
  </si>
  <si>
    <t>% of Last FY</t>
  </si>
  <si>
    <t>% of Next FY</t>
  </si>
  <si>
    <t>CY1</t>
  </si>
  <si>
    <t>CY2</t>
  </si>
  <si>
    <t>CY3</t>
  </si>
  <si>
    <t>FY1 Date</t>
  </si>
  <si>
    <t>FY4</t>
  </si>
  <si>
    <t>Price Per Share</t>
  </si>
  <si>
    <t>Market Value of Equity</t>
  </si>
  <si>
    <t>Total Debt</t>
  </si>
  <si>
    <t>Minority Interest</t>
  </si>
  <si>
    <t>Net Debt</t>
  </si>
  <si>
    <t>Enterprise Value</t>
  </si>
  <si>
    <t>10-Q</t>
  </si>
  <si>
    <t>Outstanding</t>
  </si>
  <si>
    <t>10-K</t>
  </si>
  <si>
    <t>Latest Fiscal YEAR End</t>
  </si>
  <si>
    <t>Latest Fiscal QUARTER End</t>
  </si>
  <si>
    <t>Recent Calendarized Date</t>
  </si>
  <si>
    <t>CY0</t>
  </si>
  <si>
    <t>CY0 Date</t>
  </si>
  <si>
    <t>Summary Market Valuation Data</t>
  </si>
  <si>
    <t>Equity Method Investments</t>
  </si>
  <si>
    <t>Other Non-operating Assets</t>
  </si>
  <si>
    <t>PP&amp;E, Net</t>
  </si>
  <si>
    <t>This sheet contains FactSet XML data for use with this workbook's =FDS codes.  Modifying the worksheet's contents may damage the workbook's =FDS functionality.</t>
  </si>
  <si>
    <t>Cisco Systems</t>
  </si>
  <si>
    <t>Arista Networks</t>
  </si>
  <si>
    <t>Juniper Networks</t>
  </si>
  <si>
    <t>JNPR</t>
  </si>
  <si>
    <t>Hewlett Packard</t>
  </si>
  <si>
    <t>HPE</t>
  </si>
  <si>
    <t>ANET</t>
  </si>
  <si>
    <t>CSCO</t>
  </si>
  <si>
    <t>n/a</t>
  </si>
  <si>
    <t>Company</t>
  </si>
  <si>
    <t>Price</t>
  </si>
  <si>
    <t>Enterprise</t>
  </si>
  <si>
    <t>Value</t>
  </si>
  <si>
    <t>Market</t>
  </si>
  <si>
    <t>Cap</t>
  </si>
  <si>
    <t>LTM</t>
  </si>
  <si>
    <t>Adjusted EBITDA Margin</t>
  </si>
  <si>
    <t>NAME</t>
  </si>
  <si>
    <t>PRICE</t>
  </si>
  <si>
    <t>FDSO</t>
  </si>
  <si>
    <t>MKTCAP</t>
  </si>
  <si>
    <t>DEBT</t>
  </si>
  <si>
    <t>MININT</t>
  </si>
  <si>
    <t>PREF</t>
  </si>
  <si>
    <t>CASH</t>
  </si>
  <si>
    <t>TICKER</t>
  </si>
  <si>
    <t>LTMREV</t>
  </si>
  <si>
    <t>LTMEBITDA</t>
  </si>
  <si>
    <t>LTMEBIT</t>
  </si>
  <si>
    <t>LTMEPS</t>
  </si>
  <si>
    <t>LTMNI</t>
  </si>
  <si>
    <t>FY0REV</t>
  </si>
  <si>
    <t>FY1REV</t>
  </si>
  <si>
    <t>FY2REV</t>
  </si>
  <si>
    <t>FY3REV</t>
  </si>
  <si>
    <t>FY4REV</t>
  </si>
  <si>
    <t>FY0EBITDA</t>
  </si>
  <si>
    <t>FY1EBITDA</t>
  </si>
  <si>
    <t>FY2EBITDA</t>
  </si>
  <si>
    <t>FY3EBITDA</t>
  </si>
  <si>
    <t>FY4EBITDA</t>
  </si>
  <si>
    <t>NETDEBT</t>
  </si>
  <si>
    <t>ENTVAL</t>
  </si>
  <si>
    <t>FY0EPS</t>
  </si>
  <si>
    <t>FY1EPS</t>
  </si>
  <si>
    <t>FY2EPS</t>
  </si>
  <si>
    <t>FY3EPS</t>
  </si>
  <si>
    <t>FY4EPS</t>
  </si>
  <si>
    <t>FY0NI</t>
  </si>
  <si>
    <t>FY1NI</t>
  </si>
  <si>
    <t>FY2NI</t>
  </si>
  <si>
    <t>FY3NI</t>
  </si>
  <si>
    <t>FY4NI</t>
  </si>
  <si>
    <t>FY0EBIT</t>
  </si>
  <si>
    <t>FY1EBIT</t>
  </si>
  <si>
    <t>FY2EBIT</t>
  </si>
  <si>
    <t>FY3EBIT</t>
  </si>
  <si>
    <t>FY4EBIT</t>
  </si>
  <si>
    <t>CY0REV</t>
  </si>
  <si>
    <t>CY1REV</t>
  </si>
  <si>
    <t>CY2REV</t>
  </si>
  <si>
    <t>CY3REV</t>
  </si>
  <si>
    <t>CY0EBITDA</t>
  </si>
  <si>
    <t>CY1EBITDA</t>
  </si>
  <si>
    <t>CY2EBITDA</t>
  </si>
  <si>
    <t>CY3EBITDA</t>
  </si>
  <si>
    <t>CY0EBIT</t>
  </si>
  <si>
    <t>CY1EBIT</t>
  </si>
  <si>
    <t>CY2EBIT</t>
  </si>
  <si>
    <t>CY3EBIT</t>
  </si>
  <si>
    <t>CY0NI</t>
  </si>
  <si>
    <t>CY1NI</t>
  </si>
  <si>
    <t>CY2NI</t>
  </si>
  <si>
    <t>CY3NI</t>
  </si>
  <si>
    <t>CY0EPS</t>
  </si>
  <si>
    <t>CY1EPS</t>
  </si>
  <si>
    <t>CY2EPS</t>
  </si>
  <si>
    <t>CY3EPS</t>
  </si>
  <si>
    <t>Min</t>
  </si>
  <si>
    <t>Max</t>
  </si>
  <si>
    <t>Median</t>
  </si>
  <si>
    <t>Mean</t>
  </si>
  <si>
    <t>Adjusted Net Income Margin</t>
  </si>
  <si>
    <t>EV / EBITDA</t>
  </si>
  <si>
    <t>EV / Revenue</t>
  </si>
  <si>
    <t>Price / Earnings</t>
  </si>
  <si>
    <t>Comparable Company Operating Metrics</t>
  </si>
  <si>
    <t>Comparable Company Valuation Metrics</t>
  </si>
  <si>
    <t>EPS</t>
  </si>
  <si>
    <t>Net Debt /</t>
  </si>
  <si>
    <t>LTM EBITDA</t>
  </si>
  <si>
    <t>CAGR</t>
  </si>
  <si>
    <t>Check</t>
  </si>
  <si>
    <t>2024E EV / Revenue</t>
  </si>
  <si>
    <t>2024E EV / EBITDA</t>
  </si>
  <si>
    <t>52-week High / Low</t>
  </si>
  <si>
    <t>Low</t>
  </si>
  <si>
    <t>High</t>
  </si>
  <si>
    <t>Bar</t>
  </si>
  <si>
    <t>Trading Comps Valuation</t>
  </si>
  <si>
    <t>Metric</t>
  </si>
  <si>
    <t>Implied Enterprise Value</t>
  </si>
  <si>
    <t>Less: Net Debt</t>
  </si>
  <si>
    <t>Equity Value</t>
  </si>
  <si>
    <t>'24E EV / Revenue
2.0x - 3.0x</t>
  </si>
  <si>
    <t>'24E EV / EBITDA
11.0x - 15.0x</t>
  </si>
  <si>
    <t>Analyst Price Targets
High / Low</t>
  </si>
  <si>
    <t>DCF Analysis
7%-9% WACC; 0%-2% TVGR</t>
  </si>
  <si>
    <t>&lt; Dummy Data</t>
  </si>
  <si>
    <t>P/E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</si>
</sst>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_);\(#,##0\);\-_);@_)"/>
    <numFmt numFmtId="165" formatCode="&quot;$&quot;#,##0_);\(&quot;$&quot;#,##0\);&quot;$&quot;\ \-_);@_)"/>
    <numFmt numFmtId="166" formatCode="0.0%_);\(0.0%\);0.0%_);@_)"/>
    <numFmt numFmtId="167" formatCode="m/d/yy"/>
    <numFmt numFmtId="168" formatCode="&quot;$&quot;#,##0.0_);\(&quot;$&quot;#,##0.0\);&quot;$&quot;\ \-_);@_)"/>
    <numFmt numFmtId="169" formatCode="&quot;$&quot;#,##0.00_);\(&quot;$&quot;#,##0.00\);&quot;$&quot;\ \-_);@_)"/>
    <numFmt numFmtId="170" formatCode="#,##0.00_);\(#,##0.00\);\-_);@_)"/>
    <numFmt numFmtId="171" formatCode="#,##0.0_);\(#,##0.0\);\-_);@_)"/>
    <numFmt numFmtId="172" formatCode="#,##0.000_);\(#,##0.000\);\-_);@_)"/>
    <numFmt numFmtId="173" formatCode="#,##0.0_);\(#,##0.0\)"/>
    <numFmt numFmtId="174" formatCode="yyyy&quot;A&quot;"/>
    <numFmt numFmtId="175" formatCode="yyyy&quot;E&quot;"/>
    <numFmt numFmtId="176" formatCode="0.0\x_);\(0.0\x\);0.0\x_);@_)"/>
  </numFmts>
  <fonts count="23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b/>
      <sz val="14"/>
      <color rgb="FFFFFFFF"/>
      <name val="Arial"/>
      <family val="2"/>
    </font>
    <font>
      <i/>
      <sz val="10"/>
      <color theme="1"/>
      <name val="Arial"/>
      <family val="2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0"/>
      <color rgb="FF0000FF"/>
      <name val="Arial"/>
      <family val="2"/>
    </font>
    <font>
      <b/>
      <sz val="10"/>
      <color rgb="FF0000FF"/>
      <name val="Arial"/>
      <family val="2"/>
    </font>
    <font>
      <i/>
      <sz val="10"/>
      <color rgb="FF660066"/>
      <name val="Arial"/>
      <family val="2"/>
    </font>
    <font>
      <sz val="10"/>
      <color rgb="FF660066"/>
      <name val="Arial"/>
      <family val="2"/>
    </font>
    <font>
      <sz val="10"/>
      <color rgb="FFFF0000"/>
      <name val="Arial"/>
      <family val="2"/>
    </font>
    <font>
      <b/>
      <sz val="10"/>
      <color rgb="FF008000"/>
      <name val="Arial"/>
      <family val="2"/>
    </font>
    <font>
      <b/>
      <u val="singleAccounting"/>
      <sz val="10"/>
      <color theme="1"/>
      <name val="Arial"/>
      <family val="2"/>
    </font>
    <font>
      <b/>
      <sz val="10"/>
      <color rgb="FF660066"/>
      <name val="Arial"/>
      <family val="2"/>
    </font>
    <font>
      <b/>
      <u val="singleAccounting"/>
      <sz val="10"/>
      <color rgb="FF000000"/>
      <name val="Arial"/>
      <family val="2"/>
    </font>
    <font>
      <b/>
      <u/>
      <sz val="10"/>
      <color theme="1"/>
      <name val="Arial"/>
      <family val="2"/>
    </font>
    <font>
      <sz val="10"/>
      <color rgb="FF008000"/>
      <name val="Arial"/>
      <family val="2"/>
    </font>
    <font>
      <b/>
      <u val="singleAccounting"/>
      <sz val="10"/>
      <color rgb="FFFFFFFF"/>
      <name val="Arial"/>
      <family val="2"/>
    </font>
    <font>
      <sz val="10"/>
      <color rgb="FFFFFFFF"/>
      <name val="Arial"/>
      <family val="2"/>
    </font>
    <font>
      <b/>
      <i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0B8E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6">
    <xf numFmtId="0" fontId="0" fillId="0" borderId="0" xfId="0"/>
    <xf numFmtId="0" fontId="2" fillId="0" borderId="0" xfId="0" applyFont="1"/>
    <xf numFmtId="0" fontId="0" fillId="2" borderId="0" xfId="0" applyFill="1"/>
    <xf numFmtId="0" fontId="4" fillId="2" borderId="0" xfId="0" applyFont="1" applyFill="1"/>
    <xf numFmtId="0" fontId="5" fillId="0" borderId="0" xfId="0" applyFont="1"/>
    <xf numFmtId="0" fontId="1" fillId="0" borderId="0" xfId="0" applyFont="1"/>
    <xf numFmtId="0" fontId="3" fillId="4" borderId="0" xfId="0" applyFont="1" applyFill="1" applyAlignment="1">
      <alignment horizontal="center"/>
    </xf>
    <xf numFmtId="0" fontId="0" fillId="4" borderId="0" xfId="0" applyFill="1"/>
    <xf numFmtId="164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0" fillId="0" borderId="0" xfId="0" applyAlignment="1">
      <alignment horizontal="left" indent="1"/>
    </xf>
    <xf numFmtId="0" fontId="6" fillId="0" borderId="0" xfId="0" applyFont="1"/>
    <xf numFmtId="164" fontId="1" fillId="0" borderId="2" xfId="0" applyNumberFormat="1" applyFont="1" applyBorder="1"/>
    <xf numFmtId="0" fontId="6" fillId="0" borderId="4" xfId="0" applyFont="1" applyBorder="1"/>
    <xf numFmtId="0" fontId="1" fillId="3" borderId="3" xfId="0" applyFont="1" applyFill="1" applyBorder="1"/>
    <xf numFmtId="0" fontId="0" fillId="3" borderId="3" xfId="0" applyFill="1" applyBorder="1"/>
    <xf numFmtId="0" fontId="1" fillId="0" borderId="4" xfId="0" applyFont="1" applyBorder="1"/>
    <xf numFmtId="0" fontId="0" fillId="0" borderId="4" xfId="0" applyBorder="1"/>
    <xf numFmtId="166" fontId="5" fillId="0" borderId="0" xfId="0" applyNumberFormat="1" applyFont="1"/>
    <xf numFmtId="167" fontId="3" fillId="4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0" fontId="5" fillId="0" borderId="4" xfId="0" applyFont="1" applyBorder="1" applyAlignment="1">
      <alignment horizontal="right"/>
    </xf>
    <xf numFmtId="0" fontId="2" fillId="0" borderId="0" xfId="0" applyFont="1" applyAlignment="1">
      <alignment horizontal="left"/>
    </xf>
    <xf numFmtId="165" fontId="1" fillId="0" borderId="2" xfId="0" applyNumberFormat="1" applyFont="1" applyBorder="1"/>
    <xf numFmtId="168" fontId="1" fillId="0" borderId="0" xfId="0" applyNumberFormat="1" applyFont="1"/>
    <xf numFmtId="169" fontId="1" fillId="0" borderId="0" xfId="0" applyNumberFormat="1" applyFont="1"/>
    <xf numFmtId="169" fontId="3" fillId="4" borderId="0" xfId="0" applyNumberFormat="1" applyFont="1" applyFill="1"/>
    <xf numFmtId="169" fontId="3" fillId="4" borderId="0" xfId="0" applyNumberFormat="1" applyFont="1" applyFill="1" applyAlignment="1">
      <alignment horizontal="center"/>
    </xf>
    <xf numFmtId="167" fontId="3" fillId="4" borderId="1" xfId="0" applyNumberFormat="1" applyFont="1" applyFill="1" applyBorder="1" applyAlignment="1">
      <alignment horizontal="center"/>
    </xf>
    <xf numFmtId="0" fontId="5" fillId="0" borderId="0" xfId="0" applyFont="1" applyAlignment="1">
      <alignment horizontal="right"/>
    </xf>
    <xf numFmtId="166" fontId="0" fillId="0" borderId="0" xfId="0" applyNumberFormat="1"/>
    <xf numFmtId="164" fontId="3" fillId="4" borderId="0" xfId="0" applyNumberFormat="1" applyFont="1" applyFill="1"/>
    <xf numFmtId="170" fontId="0" fillId="0" borderId="0" xfId="0" applyNumberFormat="1"/>
    <xf numFmtId="171" fontId="0" fillId="0" borderId="0" xfId="0" applyNumberFormat="1"/>
    <xf numFmtId="171" fontId="3" fillId="4" borderId="0" xfId="0" applyNumberFormat="1" applyFont="1" applyFill="1"/>
    <xf numFmtId="170" fontId="3" fillId="4" borderId="0" xfId="0" applyNumberFormat="1" applyFont="1" applyFill="1"/>
    <xf numFmtId="167" fontId="0" fillId="0" borderId="0" xfId="0" applyNumberFormat="1" applyAlignment="1">
      <alignment horizontal="center"/>
    </xf>
    <xf numFmtId="172" fontId="3" fillId="4" borderId="0" xfId="0" applyNumberFormat="1" applyFont="1" applyFill="1"/>
    <xf numFmtId="172" fontId="0" fillId="0" borderId="2" xfId="0" applyNumberFormat="1" applyBorder="1"/>
    <xf numFmtId="172" fontId="1" fillId="0" borderId="0" xfId="0" applyNumberFormat="1" applyFont="1"/>
    <xf numFmtId="171" fontId="1" fillId="0" borderId="2" xfId="0" applyNumberFormat="1" applyFont="1" applyBorder="1"/>
    <xf numFmtId="172" fontId="1" fillId="0" borderId="2" xfId="0" applyNumberFormat="1" applyFont="1" applyBorder="1"/>
    <xf numFmtId="0" fontId="9" fillId="4" borderId="0" xfId="0" applyFont="1" applyFill="1" applyAlignment="1">
      <alignment horizontal="center"/>
    </xf>
    <xf numFmtId="171" fontId="10" fillId="4" borderId="2" xfId="0" applyNumberFormat="1" applyFont="1" applyFill="1" applyBorder="1"/>
    <xf numFmtId="168" fontId="0" fillId="0" borderId="2" xfId="0" applyNumberFormat="1" applyBorder="1"/>
    <xf numFmtId="168" fontId="1" fillId="0" borderId="2" xfId="0" applyNumberFormat="1" applyFont="1" applyBorder="1"/>
    <xf numFmtId="171" fontId="3" fillId="4" borderId="4" xfId="0" applyNumberFormat="1" applyFont="1" applyFill="1" applyBorder="1"/>
    <xf numFmtId="168" fontId="0" fillId="0" borderId="0" xfId="0" applyNumberFormat="1"/>
    <xf numFmtId="167" fontId="11" fillId="4" borderId="0" xfId="0" applyNumberFormat="1" applyFont="1" applyFill="1" applyAlignment="1">
      <alignment horizontal="center"/>
    </xf>
    <xf numFmtId="164" fontId="0" fillId="4" borderId="0" xfId="0" applyNumberFormat="1" applyFill="1" applyAlignment="1">
      <alignment horizontal="right"/>
    </xf>
    <xf numFmtId="170" fontId="0" fillId="4" borderId="0" xfId="0" applyNumberFormat="1" applyFill="1" applyAlignment="1">
      <alignment horizontal="right"/>
    </xf>
    <xf numFmtId="169" fontId="12" fillId="0" borderId="0" xfId="0" applyNumberFormat="1" applyFont="1"/>
    <xf numFmtId="171" fontId="12" fillId="0" borderId="0" xfId="0" applyNumberFormat="1" applyFont="1"/>
    <xf numFmtId="173" fontId="0" fillId="0" borderId="0" xfId="0" applyNumberFormat="1"/>
    <xf numFmtId="0" fontId="3" fillId="0" borderId="0" xfId="0" applyFont="1"/>
    <xf numFmtId="0" fontId="13" fillId="0" borderId="0" xfId="0" applyFont="1"/>
    <xf numFmtId="0" fontId="0" fillId="0" borderId="2" xfId="0" applyBorder="1"/>
    <xf numFmtId="0" fontId="1" fillId="0" borderId="0" xfId="0" applyFont="1" applyAlignment="1">
      <alignment horizontal="center"/>
    </xf>
    <xf numFmtId="0" fontId="15" fillId="0" borderId="0" xfId="0" applyFont="1" applyAlignment="1">
      <alignment horizontal="centerContinuous"/>
    </xf>
    <xf numFmtId="0" fontId="1" fillId="0" borderId="4" xfId="0" applyFont="1" applyBorder="1" applyAlignment="1">
      <alignment horizontal="center"/>
    </xf>
    <xf numFmtId="174" fontId="14" fillId="0" borderId="4" xfId="0" applyNumberFormat="1" applyFont="1" applyBorder="1" applyAlignment="1">
      <alignment horizontal="center"/>
    </xf>
    <xf numFmtId="175" fontId="1" fillId="0" borderId="4" xfId="0" applyNumberFormat="1" applyFont="1" applyBorder="1" applyAlignment="1">
      <alignment horizontal="center"/>
    </xf>
    <xf numFmtId="174" fontId="16" fillId="0" borderId="4" xfId="0" applyNumberFormat="1" applyFont="1" applyBorder="1" applyAlignment="1">
      <alignment horizontal="center"/>
    </xf>
    <xf numFmtId="175" fontId="16" fillId="0" borderId="4" xfId="0" applyNumberFormat="1" applyFont="1" applyBorder="1" applyAlignment="1">
      <alignment horizontal="center"/>
    </xf>
    <xf numFmtId="175" fontId="16" fillId="0" borderId="0" xfId="0" applyNumberFormat="1" applyFont="1" applyAlignment="1">
      <alignment horizontal="center"/>
    </xf>
    <xf numFmtId="169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70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0" fontId="3" fillId="5" borderId="3" xfId="0" applyFont="1" applyFill="1" applyBorder="1" applyAlignment="1">
      <alignment vertical="center"/>
    </xf>
    <xf numFmtId="0" fontId="0" fillId="5" borderId="3" xfId="0" applyFill="1" applyBorder="1" applyAlignment="1">
      <alignment vertical="center"/>
    </xf>
    <xf numFmtId="169" fontId="0" fillId="5" borderId="3" xfId="0" applyNumberFormat="1" applyFill="1" applyBorder="1" applyAlignment="1">
      <alignment horizontal="right" vertical="center"/>
    </xf>
    <xf numFmtId="165" fontId="0" fillId="5" borderId="3" xfId="0" applyNumberFormat="1" applyFill="1" applyBorder="1" applyAlignment="1">
      <alignment horizontal="right" vertical="center"/>
    </xf>
    <xf numFmtId="0" fontId="3" fillId="6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165" fontId="0" fillId="6" borderId="0" xfId="0" applyNumberFormat="1" applyFill="1" applyAlignment="1">
      <alignment vertical="center"/>
    </xf>
    <xf numFmtId="0" fontId="3" fillId="6" borderId="4" xfId="0" applyFont="1" applyFill="1" applyBorder="1" applyAlignment="1">
      <alignment vertical="center"/>
    </xf>
    <xf numFmtId="0" fontId="0" fillId="6" borderId="4" xfId="0" applyFill="1" applyBorder="1" applyAlignment="1">
      <alignment vertical="center"/>
    </xf>
    <xf numFmtId="174" fontId="10" fillId="0" borderId="4" xfId="0" applyNumberFormat="1" applyFont="1" applyBorder="1" applyAlignment="1">
      <alignment horizontal="center"/>
    </xf>
    <xf numFmtId="175" fontId="14" fillId="0" borderId="4" xfId="0" applyNumberFormat="1" applyFont="1" applyBorder="1" applyAlignment="1">
      <alignment horizontal="center"/>
    </xf>
    <xf numFmtId="176" fontId="0" fillId="0" borderId="0" xfId="0" applyNumberFormat="1" applyAlignment="1">
      <alignment horizontal="right"/>
    </xf>
    <xf numFmtId="176" fontId="0" fillId="6" borderId="0" xfId="0" applyNumberFormat="1" applyFill="1" applyAlignment="1">
      <alignment vertical="center"/>
    </xf>
    <xf numFmtId="176" fontId="0" fillId="6" borderId="4" xfId="0" applyNumberFormat="1" applyFill="1" applyBorder="1" applyAlignment="1">
      <alignment vertical="center"/>
    </xf>
    <xf numFmtId="176" fontId="0" fillId="5" borderId="3" xfId="0" applyNumberFormat="1" applyFill="1" applyBorder="1" applyAlignment="1">
      <alignment horizontal="right" vertical="center"/>
    </xf>
    <xf numFmtId="176" fontId="0" fillId="5" borderId="3" xfId="0" applyNumberFormat="1" applyFill="1" applyBorder="1" applyAlignment="1">
      <alignment vertical="center"/>
    </xf>
    <xf numFmtId="169" fontId="0" fillId="0" borderId="0" xfId="0" applyNumberFormat="1"/>
    <xf numFmtId="169" fontId="0" fillId="0" borderId="0" xfId="0" applyNumberFormat="1" applyAlignment="1">
      <alignment vertical="center"/>
    </xf>
    <xf numFmtId="169" fontId="0" fillId="0" borderId="0" xfId="0" applyNumberFormat="1" applyAlignment="1">
      <alignment horizontal="right" vertical="center"/>
    </xf>
    <xf numFmtId="176" fontId="0" fillId="0" borderId="0" xfId="0" applyNumberFormat="1"/>
    <xf numFmtId="0" fontId="15" fillId="0" borderId="0" xfId="0" applyFont="1" applyAlignment="1">
      <alignment horizontal="center"/>
    </xf>
    <xf numFmtId="166" fontId="5" fillId="6" borderId="0" xfId="0" applyNumberFormat="1" applyFont="1" applyFill="1" applyAlignment="1">
      <alignment vertical="center"/>
    </xf>
    <xf numFmtId="166" fontId="5" fillId="6" borderId="4" xfId="0" applyNumberFormat="1" applyFont="1" applyFill="1" applyBorder="1" applyAlignment="1">
      <alignment vertical="center"/>
    </xf>
    <xf numFmtId="166" fontId="5" fillId="5" borderId="3" xfId="0" applyNumberFormat="1" applyFont="1" applyFill="1" applyBorder="1" applyAlignment="1">
      <alignment vertical="center"/>
    </xf>
    <xf numFmtId="10" fontId="0" fillId="0" borderId="0" xfId="0" applyNumberFormat="1"/>
    <xf numFmtId="166" fontId="5" fillId="0" borderId="0" xfId="0" applyNumberFormat="1" applyFont="1" applyAlignment="1">
      <alignment horizontal="right"/>
    </xf>
    <xf numFmtId="176" fontId="0" fillId="0" borderId="0" xfId="0" applyNumberFormat="1" applyAlignment="1">
      <alignment horizontal="right" vertical="center"/>
    </xf>
    <xf numFmtId="0" fontId="17" fillId="0" borderId="0" xfId="0" applyFont="1" applyAlignment="1">
      <alignment horizontal="centerContinuous"/>
    </xf>
    <xf numFmtId="0" fontId="18" fillId="0" borderId="0" xfId="0" applyFont="1" applyAlignment="1">
      <alignment horizontal="center"/>
    </xf>
    <xf numFmtId="176" fontId="3" fillId="0" borderId="0" xfId="0" applyNumberFormat="1" applyFont="1"/>
    <xf numFmtId="0" fontId="0" fillId="0" borderId="0" xfId="0" applyAlignment="1">
      <alignment horizontal="right"/>
    </xf>
    <xf numFmtId="165" fontId="19" fillId="0" borderId="0" xfId="0" applyNumberFormat="1" applyFont="1"/>
    <xf numFmtId="0" fontId="1" fillId="0" borderId="0" xfId="0" applyFont="1" applyAlignment="1">
      <alignment horizontal="right"/>
    </xf>
    <xf numFmtId="0" fontId="1" fillId="0" borderId="2" xfId="0" applyFont="1" applyBorder="1"/>
    <xf numFmtId="165" fontId="6" fillId="0" borderId="2" xfId="0" applyNumberFormat="1" applyFont="1" applyBorder="1"/>
    <xf numFmtId="0" fontId="10" fillId="0" borderId="0" xfId="0" applyFont="1"/>
    <xf numFmtId="171" fontId="0" fillId="0" borderId="0" xfId="0" applyNumberFormat="1" applyAlignment="1">
      <alignment horizontal="right"/>
    </xf>
    <xf numFmtId="169" fontId="6" fillId="0" borderId="2" xfId="0" applyNumberFormat="1" applyFont="1" applyBorder="1"/>
    <xf numFmtId="0" fontId="3" fillId="4" borderId="0" xfId="0" applyFont="1" applyFill="1"/>
    <xf numFmtId="0" fontId="20" fillId="2" borderId="0" xfId="0" applyFont="1" applyFill="1" applyAlignment="1">
      <alignment horizontal="centerContinuous"/>
    </xf>
    <xf numFmtId="0" fontId="21" fillId="2" borderId="0" xfId="0" applyFont="1" applyFill="1" applyAlignment="1">
      <alignment horizontal="centerContinuous"/>
    </xf>
    <xf numFmtId="0" fontId="1" fillId="0" borderId="0" xfId="0" quotePrefix="1" applyFont="1" applyAlignment="1">
      <alignment wrapText="1"/>
    </xf>
    <xf numFmtId="0" fontId="1" fillId="0" borderId="0" xfId="0" applyFont="1" applyAlignment="1">
      <alignment wrapText="1"/>
    </xf>
    <xf numFmtId="0" fontId="22" fillId="0" borderId="0" xfId="0" applyFont="1"/>
    <xf numFmtId="169" fontId="3" fillId="0" borderId="5" xfId="0" applyNumberFormat="1" applyFont="1" applyBorder="1"/>
    <xf numFmtId="169" fontId="0" fillId="0" borderId="5" xfId="0" applyNumberFormat="1" applyBorder="1"/>
    <xf numFmtId="169" fontId="3" fillId="0" borderId="6" xfId="0" applyNumberFormat="1" applyFont="1" applyBorder="1"/>
    <xf numFmtId="170" fontId="0" fillId="0" borderId="2" xfId="0" applyNumberFormat="1" applyBorder="1"/>
    <xf numFmtId="169" fontId="0" fillId="0" borderId="7" xfId="0" applyNumberFormat="1" applyBorder="1"/>
    <xf numFmtId="170" fontId="0" fillId="0" borderId="4" xfId="0" applyNumberFormat="1" applyBorder="1"/>
    <xf numFmtId="169" fontId="3" fillId="0" borderId="8" xfId="0" applyNumberFormat="1" applyFont="1" applyBorder="1"/>
    <xf numFmtId="169" fontId="3" fillId="0" borderId="9" xfId="0" applyNumberFormat="1" applyFont="1" applyBorder="1"/>
    <xf numFmtId="169" fontId="0" fillId="0" borderId="9" xfId="0" applyNumberFormat="1" applyBorder="1"/>
    <xf numFmtId="169" fontId="0" fillId="0" borderId="10" xfId="0" applyNumberFormat="1" applyBorder="1"/>
    <xf numFmtId="0" fontId="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0B8ECC"/>
      <color rgb="FF0B8ED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2024E EV /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AF0-4ADB-9ADF-C9992FDD8E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'Valuation Metrics'!$B$23:$B$27</c:f>
              <c:strCache>
                <c:ptCount val="5"/>
                <c:pt idx="0">
                  <c:v>Extreme Networks</c:v>
                </c:pt>
                <c:pt idx="1">
                  <c:v>Arista Networks</c:v>
                </c:pt>
                <c:pt idx="2">
                  <c:v>Cisco Systems</c:v>
                </c:pt>
                <c:pt idx="3">
                  <c:v>Juniper Networks</c:v>
                </c:pt>
                <c:pt idx="4">
                  <c:v>Hewlett Packard</c:v>
                </c:pt>
              </c:strCache>
            </c:strRef>
          </c:cat>
          <c:val>
            <c:numRef>
              <c:f>'Valuation Metrics'!$C$23:$C$27</c:f>
              <c:numCache>
                <c:formatCode>0.0\x_);\(0.0\x\);0.0\x_);@_)</c:formatCode>
                <c:ptCount val="5"/>
                <c:pt idx="0">
                  <c:v>1.4635503847058826</c:v>
                </c:pt>
                <c:pt idx="1">
                  <c:v>12.336310533179754</c:v>
                </c:pt>
                <c:pt idx="2">
                  <c:v>3.6387949684226291</c:v>
                </c:pt>
                <c:pt idx="3">
                  <c:v>2.4038521832403474</c:v>
                </c:pt>
                <c:pt idx="4">
                  <c:v>0.96559722497890288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0-4ADB-9ADF-C9992FDD8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7"/>
        <c:axId val="1226059248"/>
        <c:axId val="1627801168"/>
      </c:barChart>
      <c:catAx>
        <c:axId val="122605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1168"/>
        <c:crosses val="autoZero"/>
        <c:auto val="1"/>
        <c:lblAlgn val="ctr"/>
        <c:lblOffset val="100"/>
        <c:noMultiLvlLbl val="0"/>
      </c:catAx>
      <c:valAx>
        <c:axId val="162780116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\x_);\(0.0\x\);0.0\x_);@_)" sourceLinked="1"/>
        <c:majorTickMark val="none"/>
        <c:minorTickMark val="none"/>
        <c:tickLblPos val="nextTo"/>
        <c:crossAx val="1226059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2024E EV / EBITDA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AF0-4ADB-9ADF-C9992FDD8E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'Valuation Metrics'!$B$41:$B$45</c:f>
              <c:strCache>
                <c:ptCount val="5"/>
                <c:pt idx="0">
                  <c:v>Extreme Networks</c:v>
                </c:pt>
                <c:pt idx="1">
                  <c:v>Arista Networks</c:v>
                </c:pt>
                <c:pt idx="2">
                  <c:v>Juniper Networks</c:v>
                </c:pt>
                <c:pt idx="3">
                  <c:v>Cisco Systems</c:v>
                </c:pt>
                <c:pt idx="4">
                  <c:v>Hewlett Packard</c:v>
                </c:pt>
              </c:strCache>
            </c:strRef>
          </c:cat>
          <c:val>
            <c:numRef>
              <c:f>'Valuation Metrics'!$C$41:$C$45</c:f>
              <c:numCache>
                <c:formatCode>0.0\x_);\(0.0\x\);0.0\x_);@_)</c:formatCode>
                <c:ptCount val="5"/>
                <c:pt idx="0">
                  <c:v>10.78953972932039</c:v>
                </c:pt>
                <c:pt idx="1">
                  <c:v>28.125423945376646</c:v>
                </c:pt>
                <c:pt idx="2">
                  <c:v>11.829138061709092</c:v>
                </c:pt>
                <c:pt idx="3">
                  <c:v>9.8940758713986021</c:v>
                </c:pt>
                <c:pt idx="4">
                  <c:v>4.960833190935892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0-4ADB-9ADF-C9992FDD8E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7"/>
        <c:axId val="1226059248"/>
        <c:axId val="1627801168"/>
      </c:barChart>
      <c:catAx>
        <c:axId val="122605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801168"/>
        <c:crosses val="autoZero"/>
        <c:auto val="1"/>
        <c:lblAlgn val="ctr"/>
        <c:lblOffset val="100"/>
        <c:noMultiLvlLbl val="0"/>
      </c:catAx>
      <c:valAx>
        <c:axId val="162780116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\x_);\(0.0\x\);0.0\x_);@_)" sourceLinked="1"/>
        <c:majorTickMark val="out"/>
        <c:minorTickMark val="none"/>
        <c:tickLblPos val="nextTo"/>
        <c:crossAx val="12260592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EXTR Valuation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1.4278296988577362E-2"/>
          <c:y val="0"/>
          <c:w val="0.97144340602284529"/>
          <c:h val="0.904807597379767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'Football Field'!$C$14</c:f>
              <c:strCache>
                <c:ptCount val="1"/>
                <c:pt idx="0">
                  <c:v>Low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'Football Field'!$B$15:$B$19</c:f>
              <c:strCache>
                <c:ptCount val="5"/>
                <c:pt idx="0">
                  <c:v>52-week High / Low</c:v>
                </c:pt>
                <c:pt idx="1">
                  <c:v>Analyst Price Targets
High / Low</c:v>
                </c:pt>
                <c:pt idx="2">
                  <c:v>DCF Analysis
7%-9% WACC; 0%-2% TVGR</c:v>
                </c:pt>
                <c:pt idx="3">
                  <c:v>'24E EV / Revenue
2.0x - 3.0x</c:v>
                </c:pt>
                <c:pt idx="4">
                  <c:v>'24E EV / EBITDA
11.0x - 15.0x</c:v>
                </c:pt>
              </c:strCache>
            </c:strRef>
          </c:cat>
          <c:val>
            <c:numRef>
              <c:f>'Football Field'!$C$15:$C$19</c:f>
              <c:numCache>
                <c:formatCode>"$"#,##0.00_);\("$"#,##0.00\);"$"\ \-_);@_)</c:formatCode>
                <c:ptCount val="5"/>
                <c:pt idx="0">
                  <c:v>11.56</c:v>
                </c:pt>
                <c:pt idx="1">
                  <c:v>12</c:v>
                </c:pt>
                <c:pt idx="2">
                  <c:v>14</c:v>
                </c:pt>
                <c:pt idx="3">
                  <c:v>16.414299352730982</c:v>
                </c:pt>
                <c:pt idx="4">
                  <c:v>12.191848096221609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85-4913-AD92-8E09FFFB72CA}"/>
            </c:ext>
          </c:extLst>
        </c:ser>
        <c:ser>
          <c:idx val="1"/>
          <c:order val="1"/>
          <c:tx>
            <c:strRef>
              <c:f>'Football Field'!$D$14</c:f>
              <c:strCache>
                <c:ptCount val="1"/>
                <c:pt idx="0">
                  <c:v>Bar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'Football Field'!$B$15:$B$19</c:f>
              <c:strCache>
                <c:ptCount val="5"/>
                <c:pt idx="0">
                  <c:v>52-week High / Low</c:v>
                </c:pt>
                <c:pt idx="1">
                  <c:v>Analyst Price Targets
High / Low</c:v>
                </c:pt>
                <c:pt idx="2">
                  <c:v>DCF Analysis
7%-9% WACC; 0%-2% TVGR</c:v>
                </c:pt>
                <c:pt idx="3">
                  <c:v>'24E EV / Revenue
2.0x - 3.0x</c:v>
                </c:pt>
                <c:pt idx="4">
                  <c:v>'24E EV / EBITDA
11.0x - 15.0x</c:v>
                </c:pt>
              </c:strCache>
            </c:strRef>
          </c:cat>
          <c:val>
            <c:numRef>
              <c:f>'Football Field'!$D$15:$D$19</c:f>
              <c:numCache>
                <c:formatCode>#,##0.00_);\(#,##0.00\);\-_);@_)</c:formatCode>
                <c:ptCount val="5"/>
                <c:pt idx="0">
                  <c:v>15.87</c:v>
                </c:pt>
                <c:pt idx="1">
                  <c:v>10</c:v>
                </c:pt>
                <c:pt idx="2">
                  <c:v>5</c:v>
                </c:pt>
                <c:pt idx="3">
                  <c:v>8.3135211428939932</c:v>
                </c:pt>
                <c:pt idx="4">
                  <c:v>4.5107603742831337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85-4913-AD92-8E09FFFB72CA}"/>
            </c:ext>
          </c:extLst>
        </c:ser>
        <c:ser>
          <c:idx val="2"/>
          <c:order val="2"/>
          <c:tx>
            <c:strRef>
              <c:f>'Football Field'!$E$14</c:f>
              <c:strCache>
                <c:ptCount val="1"/>
                <c:pt idx="0">
                  <c:v>High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'Football Field'!$B$15:$B$19</c:f>
              <c:strCache>
                <c:ptCount val="5"/>
                <c:pt idx="0">
                  <c:v>52-week High / Low</c:v>
                </c:pt>
                <c:pt idx="1">
                  <c:v>Analyst Price Targets
High / Low</c:v>
                </c:pt>
                <c:pt idx="2">
                  <c:v>DCF Analysis
7%-9% WACC; 0%-2% TVGR</c:v>
                </c:pt>
                <c:pt idx="3">
                  <c:v>'24E EV / Revenue
2.0x - 3.0x</c:v>
                </c:pt>
                <c:pt idx="4">
                  <c:v>'24E EV / EBITDA
11.0x - 15.0x</c:v>
                </c:pt>
              </c:strCache>
            </c:strRef>
          </c:cat>
          <c:val>
            <c:numRef>
              <c:f>'Football Field'!$E$15:$E$19</c:f>
              <c:numCache>
                <c:formatCode>"$"#,##0.00_);\("$"#,##0.00\);"$"\ \-_);@_)</c:formatCode>
                <c:ptCount val="5"/>
                <c:pt idx="0">
                  <c:v>27.43</c:v>
                </c:pt>
                <c:pt idx="1">
                  <c:v>22</c:v>
                </c:pt>
                <c:pt idx="2">
                  <c:v>19</c:v>
                </c:pt>
                <c:pt idx="3">
                  <c:v>24.727820495624975</c:v>
                </c:pt>
                <c:pt idx="4">
                  <c:v>16.702608470504742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A85-4913-AD92-8E09FFFB72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128890175"/>
        <c:axId val="1128890655"/>
      </c:barChart>
      <c:catAx>
        <c:axId val="112889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90655"/>
        <c:crosses val="autoZero"/>
        <c:auto val="1"/>
        <c:lblAlgn val="ctr"/>
        <c:lblOffset val="100"/>
        <c:noMultiLvlLbl val="0"/>
      </c:catAx>
      <c:valAx>
        <c:axId val="1128890655"/>
        <c:scaling>
          <c:orientation val="minMax"/>
          <c:max val="40"/>
        </c:scaling>
        <c:delete val="1"/>
        <c:axPos val="l"/>
        <c:numFmt formatCode="&quot;$&quot;#,##0.00_);\(&quot;$&quot;#,##0.00\);&quot;$&quot;\ \-_);@_)" sourceLinked="1"/>
        <c:majorTickMark val="out"/>
        <c:minorTickMark val="none"/>
        <c:tickLblPos val="nextTo"/>
        <c:crossAx val="1128890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101919</xdr:colOff>
      <xdr:row>21</xdr:row>
      <xdr:rowOff>139879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27E587-FF66-D822-E09D-4A688C718E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67640"/>
          <a:ext cx="6197919" cy="349267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174170</xdr:colOff>
      <xdr:row>20</xdr:row>
      <xdr:rowOff>14514</xdr:rowOff>
    </xdr:from>
    <xdr:to>
      <xdr:col>14</xdr:col>
      <xdr:colOff>537028</xdr:colOff>
      <xdr:row>35</xdr:row>
      <xdr:rowOff>21771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A10D033-6B9E-69DF-4BDA-58C423CA5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181790</xdr:colOff>
      <xdr:row>35</xdr:row>
      <xdr:rowOff>158205</xdr:rowOff>
    </xdr:from>
    <xdr:to>
      <xdr:col>14</xdr:col>
      <xdr:colOff>544648</xdr:colOff>
      <xdr:row>50</xdr:row>
      <xdr:rowOff>165463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7655B65-8AE0-7F7F-76C9-FA8B2ABF9D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404431</xdr:colOff>
      <xdr:row>29</xdr:row>
      <xdr:rowOff>131400</xdr:rowOff>
    </xdr:from>
    <xdr:to>
      <xdr:col>6</xdr:col>
      <xdr:colOff>404791</xdr:colOff>
      <xdr:row>29</xdr:row>
      <xdr:rowOff>131400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0" name="Ink 139">
              <a:extLst>
                <a:ext uri="{FF2B5EF4-FFF2-40B4-BE49-F238E27FC236}">
                  <a16:creationId xmlns:a16="http://schemas.microsoft.com/office/drawing/2014/main" id="{D81065AF-76F2-39F5-C91E-ED28A2A11A59}"/>
                </a:ext>
              </a:extLst>
            </xdr14:cNvPr>
            <xdr14:cNvContentPartPr/>
          </xdr14:nvContentPartPr>
          <xdr14:nvPr macro=""/>
          <xdr14:xfrm>
            <a:off x="3810240" y="5160600"/>
            <a:ext cx="360" cy="360"/>
          </xdr14:xfrm>
        </xdr:contentPart>
      </mc:Choice>
      <mc:Fallback xmlns="">
        <xdr:pic>
          <xdr:nvPicPr>
            <xdr:cNvPr id="140" name="Ink 139">
              <a:extLst>
                <a:ext uri="{FF2B5EF4-FFF2-40B4-BE49-F238E27FC236}">
                  <a16:creationId xmlns:a16="http://schemas.microsoft.com/office/drawing/2014/main" id="{D81065AF-76F2-39F5-C91E-ED28A2A11A59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801600" y="51519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121920</xdr:colOff>
      <xdr:row>20</xdr:row>
      <xdr:rowOff>11429</xdr:rowOff>
    </xdr:from>
    <xdr:to>
      <xdr:col>14</xdr:col>
      <xdr:colOff>439271</xdr:colOff>
      <xdr:row>50</xdr:row>
      <xdr:rowOff>26893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419125-BA31-BC7B-FD26-987682D1C8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4-05-28T00:57:18.001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2144 2004 184 0 0,'0'0'330'0'0</inkml:trace>
</inkml: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BD6A6-B236-448A-99AC-242336F05756}">
  <dimension ref="A1:B1"/>
  <sheetViews>
    <sheetView workbookViewId="0"/>
  </sheetViews>
  <sheetFormatPr defaultRowHeight="12.7" x14ac:dyDescent="0.4"/>
  <sheetData>
    <row r="1" spans="1:2" x14ac:dyDescent="0.4">
      <c r="B1" t="s">
        <v>127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E1CA0-D183-4DA6-B7C8-815BE466D09D}">
  <dimension ref="A1"/>
  <sheetViews>
    <sheetView workbookViewId="0"/>
  </sheetViews>
  <sheetFormatPr defaultRowHeight="12.7" x14ac:dyDescent="0.4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A5B55-3425-483F-BFA7-38614356291C}">
  <sheetPr>
    <tabColor theme="4" tint="-0.249977111117893"/>
  </sheetPr>
  <dimension ref="A2:O309"/>
  <sheetViews>
    <sheetView showGridLines="0" tabSelected="1" zoomScaleNormal="100" workbookViewId="0"/>
  </sheetViews>
  <sheetFormatPr defaultRowHeight="12.7" outlineLevelRow="1" x14ac:dyDescent="0.4"/>
  <cols>
    <col min="2" max="2" width="33.64453125" bestFit="1" customWidth="1"/>
    <col min="3" max="3" width="14" customWidth="1"/>
    <col min="4" max="4" width="0.76171875" customWidth="1"/>
    <col min="5" max="5" width="15.76171875" customWidth="1"/>
    <col min="6" max="6" width="0.76171875" customWidth="1"/>
    <col min="7" max="7" width="15.76171875" customWidth="1"/>
    <col min="8" max="8" width="0.76171875" customWidth="1"/>
    <col min="9" max="9" width="15.76171875" customWidth="1"/>
    <col min="10" max="10" width="0.76171875" customWidth="1"/>
    <col min="11" max="11" width="15.76171875" customWidth="1"/>
    <col min="12" max="12" width="0.76171875" customWidth="1"/>
    <col min="13" max="13" width="15.76171875" customWidth="1"/>
    <col min="14" max="14" width="0.76171875" customWidth="1"/>
  </cols>
  <sheetData>
    <row r="2" spans="1:14" ht="17.7" x14ac:dyDescent="0.55000000000000004">
      <c r="A2" s="3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4">
      <c r="A3" s="4" t="s">
        <v>3</v>
      </c>
    </row>
    <row r="5" spans="1:14" x14ac:dyDescent="0.4">
      <c r="A5" s="5" t="s">
        <v>1</v>
      </c>
      <c r="C5" s="29">
        <v>45345</v>
      </c>
    </row>
    <row r="6" spans="1:14" x14ac:dyDescent="0.4">
      <c r="A6" s="5" t="s">
        <v>120</v>
      </c>
      <c r="C6" s="29">
        <v>45291</v>
      </c>
    </row>
    <row r="8" spans="1:14" x14ac:dyDescent="0.4">
      <c r="A8" s="15" t="s">
        <v>6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</row>
    <row r="9" spans="1:14" x14ac:dyDescent="0.4">
      <c r="B9" t="s">
        <v>4</v>
      </c>
      <c r="C9" s="56" t="s">
        <v>153</v>
      </c>
      <c r="E9" s="6" t="s">
        <v>87</v>
      </c>
      <c r="G9" s="6" t="s">
        <v>135</v>
      </c>
      <c r="I9" s="6" t="s">
        <v>134</v>
      </c>
      <c r="K9" s="6" t="s">
        <v>133</v>
      </c>
      <c r="M9" s="6" t="s">
        <v>131</v>
      </c>
    </row>
    <row r="10" spans="1:14" x14ac:dyDescent="0.4">
      <c r="B10" t="s">
        <v>2</v>
      </c>
      <c r="C10" s="56" t="s">
        <v>145</v>
      </c>
      <c r="E10" s="6" t="s">
        <v>100</v>
      </c>
      <c r="G10" s="6" t="s">
        <v>128</v>
      </c>
      <c r="I10" s="6" t="s">
        <v>129</v>
      </c>
      <c r="K10" s="6" t="s">
        <v>132</v>
      </c>
      <c r="M10" s="6" t="s">
        <v>130</v>
      </c>
    </row>
    <row r="11" spans="1:14" x14ac:dyDescent="0.4">
      <c r="B11" t="s">
        <v>5</v>
      </c>
      <c r="C11" s="56"/>
      <c r="E11" s="28">
        <v>12.38</v>
      </c>
      <c r="G11" s="28">
        <v>48.86</v>
      </c>
      <c r="I11" s="28">
        <v>267.66000000000003</v>
      </c>
      <c r="K11" s="28">
        <v>15.11</v>
      </c>
      <c r="M11" s="28">
        <v>37.18</v>
      </c>
    </row>
    <row r="12" spans="1:14" x14ac:dyDescent="0.4">
      <c r="B12" t="s">
        <v>118</v>
      </c>
      <c r="E12" s="20">
        <v>45107</v>
      </c>
      <c r="G12" s="20">
        <v>45136</v>
      </c>
      <c r="I12" s="20">
        <v>45291</v>
      </c>
      <c r="K12" s="20">
        <v>45230</v>
      </c>
      <c r="M12" s="20">
        <v>45291</v>
      </c>
    </row>
    <row r="13" spans="1:14" x14ac:dyDescent="0.4">
      <c r="B13" t="s">
        <v>119</v>
      </c>
      <c r="E13" s="20">
        <v>45291</v>
      </c>
      <c r="G13" s="20">
        <v>45318</v>
      </c>
      <c r="I13" s="20">
        <v>45291</v>
      </c>
      <c r="K13" s="20">
        <v>45230</v>
      </c>
      <c r="M13" s="20">
        <v>45291</v>
      </c>
    </row>
    <row r="15" spans="1:14" x14ac:dyDescent="0.4">
      <c r="A15" s="15" t="s">
        <v>7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</row>
    <row r="16" spans="1:14" s="4" customFormat="1" x14ac:dyDescent="0.4">
      <c r="B16" s="4" t="s">
        <v>8</v>
      </c>
      <c r="E16" s="43" t="s">
        <v>115</v>
      </c>
      <c r="G16" s="43" t="s">
        <v>115</v>
      </c>
      <c r="I16" s="43" t="s">
        <v>117</v>
      </c>
      <c r="K16" s="43" t="s">
        <v>117</v>
      </c>
      <c r="M16" s="43" t="s">
        <v>117</v>
      </c>
    </row>
    <row r="17" spans="1:14" s="4" customFormat="1" x14ac:dyDescent="0.4">
      <c r="B17" s="4" t="s">
        <v>10</v>
      </c>
      <c r="E17" s="49">
        <f>+E13</f>
        <v>45291</v>
      </c>
      <c r="G17" s="49">
        <f>+G13</f>
        <v>45318</v>
      </c>
      <c r="I17" s="49">
        <f>+I13</f>
        <v>45291</v>
      </c>
      <c r="K17" s="49">
        <f>+K13</f>
        <v>45230</v>
      </c>
      <c r="M17" s="49">
        <f>+M13</f>
        <v>45291</v>
      </c>
    </row>
    <row r="19" spans="1:14" ht="13.2" customHeight="1" x14ac:dyDescent="0.4">
      <c r="B19" t="s">
        <v>9</v>
      </c>
      <c r="E19" s="38">
        <v>128.730411</v>
      </c>
      <c r="G19" s="38">
        <v>4049.1870800000002</v>
      </c>
      <c r="I19" s="38">
        <v>312.63361200000003</v>
      </c>
      <c r="K19" s="38">
        <v>1300</v>
      </c>
      <c r="M19" s="38">
        <v>321.90736600000002</v>
      </c>
    </row>
    <row r="20" spans="1:14" x14ac:dyDescent="0.4">
      <c r="B20" t="s">
        <v>11</v>
      </c>
      <c r="E20" s="38">
        <v>7.7450000000000001</v>
      </c>
      <c r="G20" s="38">
        <v>132</v>
      </c>
      <c r="I20" s="38">
        <v>7.9</v>
      </c>
      <c r="K20" s="38">
        <v>54.388999999999996</v>
      </c>
      <c r="M20" s="38">
        <v>20.2</v>
      </c>
    </row>
    <row r="21" spans="1:14" x14ac:dyDescent="0.4">
      <c r="B21" s="5" t="s">
        <v>12</v>
      </c>
      <c r="E21" s="39">
        <f>+E19+E20</f>
        <v>136.47541100000001</v>
      </c>
      <c r="G21" s="39">
        <f>+G19+G20</f>
        <v>4181.1870799999997</v>
      </c>
      <c r="I21" s="39">
        <f>+I19+I20</f>
        <v>320.53361200000001</v>
      </c>
      <c r="K21" s="39">
        <f>+K19+K20</f>
        <v>1354.3889999999999</v>
      </c>
      <c r="M21" s="39">
        <f>+M19+M20</f>
        <v>342.10736600000001</v>
      </c>
    </row>
    <row r="23" spans="1:14" ht="13.2" customHeight="1" x14ac:dyDescent="0.4">
      <c r="A23" s="12" t="s">
        <v>62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x14ac:dyDescent="0.4">
      <c r="B24" t="s">
        <v>14</v>
      </c>
      <c r="E24" s="6" t="s">
        <v>116</v>
      </c>
      <c r="G24" s="6" t="s">
        <v>116</v>
      </c>
      <c r="I24" s="6" t="s">
        <v>116</v>
      </c>
      <c r="K24" s="6" t="s">
        <v>116</v>
      </c>
      <c r="M24" s="6" t="s">
        <v>116</v>
      </c>
    </row>
    <row r="26" spans="1:14" x14ac:dyDescent="0.4">
      <c r="B26" t="s">
        <v>15</v>
      </c>
      <c r="E26" s="38">
        <v>1.1299999999999999</v>
      </c>
      <c r="G26" s="38"/>
      <c r="I26" s="38">
        <v>2.4569999999999999</v>
      </c>
      <c r="K26" s="38"/>
      <c r="M26" s="38"/>
    </row>
    <row r="27" spans="1:14" x14ac:dyDescent="0.4">
      <c r="B27" t="s">
        <v>13</v>
      </c>
      <c r="E27" s="27">
        <v>6.57</v>
      </c>
      <c r="G27" s="27"/>
      <c r="I27" s="27">
        <v>19.829999999999998</v>
      </c>
      <c r="K27" s="27"/>
      <c r="M27" s="27"/>
    </row>
    <row r="28" spans="1:14" outlineLevel="1" x14ac:dyDescent="0.4">
      <c r="B28" t="s">
        <v>16</v>
      </c>
      <c r="E28" s="39">
        <f>+IF(E$11&gt;E27,E26,0)</f>
        <v>1.1299999999999999</v>
      </c>
      <c r="G28" s="39">
        <f>+IF(G$11&gt;G27,G26,0)</f>
        <v>0</v>
      </c>
      <c r="I28" s="39">
        <f>+IF(I$11&gt;I27,I26,0)</f>
        <v>2.4569999999999999</v>
      </c>
      <c r="K28" s="39">
        <f>+IF(K$11&gt;K27,K26,0)</f>
        <v>0</v>
      </c>
      <c r="M28" s="39">
        <f>+IF(M$11&gt;M27,M26,0)</f>
        <v>0</v>
      </c>
    </row>
    <row r="29" spans="1:14" outlineLevel="1" x14ac:dyDescent="0.4">
      <c r="B29" t="s">
        <v>17</v>
      </c>
      <c r="E29" s="9">
        <f>+E28*E27</f>
        <v>7.4240999999999993</v>
      </c>
      <c r="G29" s="9">
        <f>+G28*G27</f>
        <v>0</v>
      </c>
      <c r="I29" s="9">
        <f>+I28*I27</f>
        <v>48.722309999999993</v>
      </c>
      <c r="K29" s="9">
        <f>+K28*K27</f>
        <v>0</v>
      </c>
      <c r="M29" s="9">
        <f>+M28*M27</f>
        <v>0</v>
      </c>
    </row>
    <row r="31" spans="1:14" x14ac:dyDescent="0.4">
      <c r="B31" t="s">
        <v>18</v>
      </c>
      <c r="E31" s="38"/>
      <c r="G31" s="38"/>
      <c r="I31" s="38"/>
      <c r="K31" s="38"/>
      <c r="M31" s="38"/>
    </row>
    <row r="32" spans="1:14" x14ac:dyDescent="0.4">
      <c r="B32" t="s">
        <v>13</v>
      </c>
      <c r="E32" s="27"/>
      <c r="G32" s="27"/>
      <c r="I32" s="27"/>
      <c r="K32" s="27"/>
      <c r="M32" s="27"/>
    </row>
    <row r="33" spans="2:13" hidden="1" outlineLevel="1" x14ac:dyDescent="0.4">
      <c r="B33" t="s">
        <v>16</v>
      </c>
      <c r="E33" s="39">
        <f>+IF(E$11&gt;E32,E31,0)</f>
        <v>0</v>
      </c>
      <c r="G33" s="39">
        <f>+IF(G$11&gt;G32,G31,0)</f>
        <v>0</v>
      </c>
      <c r="I33" s="39">
        <f>+IF(I$11&gt;I32,I31,0)</f>
        <v>0</v>
      </c>
      <c r="K33" s="39">
        <f>+IF(K$11&gt;K32,K31,0)</f>
        <v>0</v>
      </c>
      <c r="M33" s="39">
        <f>+IF(M$11&gt;M32,M31,0)</f>
        <v>0</v>
      </c>
    </row>
    <row r="34" spans="2:13" hidden="1" outlineLevel="1" x14ac:dyDescent="0.4">
      <c r="B34" t="s">
        <v>17</v>
      </c>
      <c r="E34" s="9">
        <f>+E33*E32</f>
        <v>0</v>
      </c>
      <c r="G34" s="9">
        <f>+G33*G32</f>
        <v>0</v>
      </c>
      <c r="I34" s="9">
        <f>+I33*I32</f>
        <v>0</v>
      </c>
      <c r="K34" s="9">
        <f>+K33*K32</f>
        <v>0</v>
      </c>
      <c r="M34" s="9">
        <f>+M33*M32</f>
        <v>0</v>
      </c>
    </row>
    <row r="35" spans="2:13" collapsed="1" x14ac:dyDescent="0.4"/>
    <row r="36" spans="2:13" x14ac:dyDescent="0.4">
      <c r="B36" t="s">
        <v>19</v>
      </c>
      <c r="E36" s="38"/>
      <c r="G36" s="38"/>
      <c r="I36" s="38"/>
      <c r="K36" s="38"/>
      <c r="M36" s="38"/>
    </row>
    <row r="37" spans="2:13" x14ac:dyDescent="0.4">
      <c r="B37" t="s">
        <v>13</v>
      </c>
      <c r="E37" s="27"/>
      <c r="G37" s="27"/>
      <c r="I37" s="27"/>
      <c r="K37" s="27"/>
      <c r="M37" s="27"/>
    </row>
    <row r="38" spans="2:13" hidden="1" outlineLevel="1" x14ac:dyDescent="0.4">
      <c r="B38" t="s">
        <v>16</v>
      </c>
      <c r="E38" s="39">
        <f>+IF(E$11&gt;E37,E36,0)</f>
        <v>0</v>
      </c>
      <c r="G38" s="39">
        <f>+IF(G$11&gt;G37,G36,0)</f>
        <v>0</v>
      </c>
      <c r="I38" s="39">
        <f>+IF(I$11&gt;I37,I36,0)</f>
        <v>0</v>
      </c>
      <c r="K38" s="39">
        <f>+IF(K$11&gt;K37,K36,0)</f>
        <v>0</v>
      </c>
      <c r="M38" s="39">
        <f>+IF(M$11&gt;M37,M36,0)</f>
        <v>0</v>
      </c>
    </row>
    <row r="39" spans="2:13" hidden="1" outlineLevel="1" x14ac:dyDescent="0.4">
      <c r="B39" t="s">
        <v>17</v>
      </c>
      <c r="E39" s="9">
        <f>+E38*E37</f>
        <v>0</v>
      </c>
      <c r="G39" s="9">
        <f>+G38*G37</f>
        <v>0</v>
      </c>
      <c r="I39" s="9">
        <f>+I38*I37</f>
        <v>0</v>
      </c>
      <c r="K39" s="9">
        <f>+K38*K37</f>
        <v>0</v>
      </c>
      <c r="M39" s="9">
        <f>+M38*M37</f>
        <v>0</v>
      </c>
    </row>
    <row r="40" spans="2:13" collapsed="1" x14ac:dyDescent="0.4"/>
    <row r="41" spans="2:13" x14ac:dyDescent="0.4">
      <c r="B41" t="s">
        <v>20</v>
      </c>
      <c r="E41" s="38"/>
      <c r="G41" s="38"/>
      <c r="I41" s="38"/>
      <c r="K41" s="38"/>
      <c r="M41" s="38"/>
    </row>
    <row r="42" spans="2:13" x14ac:dyDescent="0.4">
      <c r="B42" t="s">
        <v>13</v>
      </c>
      <c r="E42" s="27"/>
      <c r="G42" s="27"/>
      <c r="I42" s="27"/>
      <c r="K42" s="27"/>
      <c r="M42" s="27"/>
    </row>
    <row r="43" spans="2:13" hidden="1" outlineLevel="1" x14ac:dyDescent="0.4">
      <c r="B43" t="s">
        <v>16</v>
      </c>
      <c r="E43" s="39">
        <f>+IF(E$11&gt;E42,E41,0)</f>
        <v>0</v>
      </c>
      <c r="G43" s="39">
        <f>+IF(G$11&gt;G42,G41,0)</f>
        <v>0</v>
      </c>
      <c r="I43" s="39">
        <f>+IF(I$11&gt;I42,I41,0)</f>
        <v>0</v>
      </c>
      <c r="K43" s="39">
        <f>+IF(K$11&gt;K42,K41,0)</f>
        <v>0</v>
      </c>
      <c r="M43" s="39">
        <f>+IF(M$11&gt;M42,M41,0)</f>
        <v>0</v>
      </c>
    </row>
    <row r="44" spans="2:13" hidden="1" outlineLevel="1" x14ac:dyDescent="0.4">
      <c r="B44" t="s">
        <v>17</v>
      </c>
      <c r="E44" s="9">
        <f>+E43*E42</f>
        <v>0</v>
      </c>
      <c r="G44" s="9">
        <f>+G43*G42</f>
        <v>0</v>
      </c>
      <c r="I44" s="9">
        <f>+I43*I42</f>
        <v>0</v>
      </c>
      <c r="K44" s="9">
        <f>+K43*K42</f>
        <v>0</v>
      </c>
      <c r="M44" s="9">
        <f>+M43*M42</f>
        <v>0</v>
      </c>
    </row>
    <row r="45" spans="2:13" collapsed="1" x14ac:dyDescent="0.4"/>
    <row r="46" spans="2:13" x14ac:dyDescent="0.4">
      <c r="B46" t="s">
        <v>21</v>
      </c>
      <c r="E46" s="38"/>
      <c r="G46" s="38"/>
      <c r="I46" s="38"/>
      <c r="K46" s="38"/>
      <c r="M46" s="38"/>
    </row>
    <row r="47" spans="2:13" x14ac:dyDescent="0.4">
      <c r="B47" t="s">
        <v>13</v>
      </c>
      <c r="E47" s="27"/>
      <c r="G47" s="27"/>
      <c r="I47" s="27"/>
      <c r="K47" s="27"/>
      <c r="M47" s="27"/>
    </row>
    <row r="48" spans="2:13" hidden="1" outlineLevel="1" x14ac:dyDescent="0.4">
      <c r="B48" t="s">
        <v>16</v>
      </c>
      <c r="E48" s="39">
        <f>+IF(E$11&gt;E47,E46,0)</f>
        <v>0</v>
      </c>
      <c r="G48" s="39">
        <f>+IF(G$11&gt;G47,G46,0)</f>
        <v>0</v>
      </c>
      <c r="I48" s="39">
        <f>+IF(I$11&gt;I47,I46,0)</f>
        <v>0</v>
      </c>
      <c r="K48" s="39">
        <f>+IF(K$11&gt;K47,K46,0)</f>
        <v>0</v>
      </c>
      <c r="M48" s="39">
        <f>+IF(M$11&gt;M47,M46,0)</f>
        <v>0</v>
      </c>
    </row>
    <row r="49" spans="2:13" hidden="1" outlineLevel="1" x14ac:dyDescent="0.4">
      <c r="B49" t="s">
        <v>17</v>
      </c>
      <c r="E49" s="9">
        <f>+E48*E47</f>
        <v>0</v>
      </c>
      <c r="G49" s="9">
        <f>+G48*G47</f>
        <v>0</v>
      </c>
      <c r="I49" s="9">
        <f>+I48*I47</f>
        <v>0</v>
      </c>
      <c r="K49" s="9">
        <f>+K48*K47</f>
        <v>0</v>
      </c>
      <c r="M49" s="9">
        <f>+M48*M47</f>
        <v>0</v>
      </c>
    </row>
    <row r="50" spans="2:13" collapsed="1" x14ac:dyDescent="0.4"/>
    <row r="51" spans="2:13" x14ac:dyDescent="0.4">
      <c r="B51" t="s">
        <v>22</v>
      </c>
      <c r="E51" s="38"/>
      <c r="G51" s="38"/>
      <c r="I51" s="38"/>
      <c r="K51" s="38"/>
      <c r="M51" s="38"/>
    </row>
    <row r="52" spans="2:13" x14ac:dyDescent="0.4">
      <c r="B52" t="s">
        <v>13</v>
      </c>
      <c r="E52" s="27"/>
      <c r="G52" s="27"/>
      <c r="I52" s="27"/>
      <c r="K52" s="27"/>
      <c r="M52" s="27"/>
    </row>
    <row r="53" spans="2:13" hidden="1" outlineLevel="1" x14ac:dyDescent="0.4">
      <c r="B53" t="s">
        <v>16</v>
      </c>
      <c r="E53" s="39">
        <f>+IF(E$11&gt;E52,E51,0)</f>
        <v>0</v>
      </c>
      <c r="G53" s="39">
        <f>+IF(G$11&gt;G52,G51,0)</f>
        <v>0</v>
      </c>
      <c r="I53" s="39">
        <f>+IF(I$11&gt;I52,I51,0)</f>
        <v>0</v>
      </c>
      <c r="K53" s="39">
        <f>+IF(K$11&gt;K52,K51,0)</f>
        <v>0</v>
      </c>
      <c r="M53" s="39">
        <f>+IF(M$11&gt;M52,M51,0)</f>
        <v>0</v>
      </c>
    </row>
    <row r="54" spans="2:13" hidden="1" outlineLevel="1" x14ac:dyDescent="0.4">
      <c r="B54" t="s">
        <v>17</v>
      </c>
      <c r="E54" s="9">
        <f>+E53*E52</f>
        <v>0</v>
      </c>
      <c r="G54" s="9">
        <f>+G53*G52</f>
        <v>0</v>
      </c>
      <c r="I54" s="9">
        <f>+I53*I52</f>
        <v>0</v>
      </c>
      <c r="K54" s="9">
        <f>+K53*K52</f>
        <v>0</v>
      </c>
      <c r="M54" s="9">
        <f>+M53*M52</f>
        <v>0</v>
      </c>
    </row>
    <row r="55" spans="2:13" collapsed="1" x14ac:dyDescent="0.4"/>
    <row r="56" spans="2:13" x14ac:dyDescent="0.4">
      <c r="B56" t="s">
        <v>23</v>
      </c>
      <c r="E56" s="38"/>
      <c r="G56" s="38"/>
      <c r="I56" s="38"/>
      <c r="K56" s="38"/>
      <c r="M56" s="38"/>
    </row>
    <row r="57" spans="2:13" x14ac:dyDescent="0.4">
      <c r="B57" t="s">
        <v>13</v>
      </c>
      <c r="E57" s="27"/>
      <c r="G57" s="27"/>
      <c r="I57" s="27"/>
      <c r="K57" s="27"/>
      <c r="M57" s="27"/>
    </row>
    <row r="58" spans="2:13" hidden="1" outlineLevel="1" x14ac:dyDescent="0.4">
      <c r="B58" t="s">
        <v>16</v>
      </c>
      <c r="E58" s="39">
        <f>+IF(E$11&gt;E57,E56,0)</f>
        <v>0</v>
      </c>
      <c r="G58" s="39">
        <f>+IF(G$11&gt;G57,G56,0)</f>
        <v>0</v>
      </c>
      <c r="I58" s="39">
        <f>+IF(I$11&gt;I57,I56,0)</f>
        <v>0</v>
      </c>
      <c r="K58" s="39">
        <f>+IF(K$11&gt;K57,K56,0)</f>
        <v>0</v>
      </c>
      <c r="M58" s="39">
        <f>+IF(M$11&gt;M57,M56,0)</f>
        <v>0</v>
      </c>
    </row>
    <row r="59" spans="2:13" hidden="1" outlineLevel="1" x14ac:dyDescent="0.4">
      <c r="B59" t="s">
        <v>17</v>
      </c>
      <c r="E59" s="9">
        <f>+E58*E57</f>
        <v>0</v>
      </c>
      <c r="G59" s="9">
        <f>+G58*G57</f>
        <v>0</v>
      </c>
      <c r="I59" s="9">
        <f>+I58*I57</f>
        <v>0</v>
      </c>
      <c r="K59" s="9">
        <f>+K58*K57</f>
        <v>0</v>
      </c>
      <c r="M59" s="9">
        <f>+M58*M57</f>
        <v>0</v>
      </c>
    </row>
    <row r="60" spans="2:13" collapsed="1" x14ac:dyDescent="0.4"/>
    <row r="61" spans="2:13" x14ac:dyDescent="0.4">
      <c r="B61" t="s">
        <v>24</v>
      </c>
      <c r="E61" s="38"/>
      <c r="G61" s="38"/>
      <c r="I61" s="38"/>
      <c r="K61" s="38"/>
      <c r="M61" s="38"/>
    </row>
    <row r="62" spans="2:13" x14ac:dyDescent="0.4">
      <c r="B62" t="s">
        <v>13</v>
      </c>
      <c r="E62" s="27"/>
      <c r="G62" s="27"/>
      <c r="I62" s="27"/>
      <c r="K62" s="27"/>
      <c r="M62" s="27"/>
    </row>
    <row r="63" spans="2:13" hidden="1" outlineLevel="1" x14ac:dyDescent="0.4">
      <c r="B63" t="s">
        <v>16</v>
      </c>
      <c r="E63" s="39">
        <f>+IF(E$11&gt;E62,E61,0)</f>
        <v>0</v>
      </c>
      <c r="G63" s="39">
        <f>+IF(G$11&gt;G62,G61,0)</f>
        <v>0</v>
      </c>
      <c r="I63" s="39">
        <f>+IF(I$11&gt;I62,I61,0)</f>
        <v>0</v>
      </c>
      <c r="K63" s="39">
        <f>+IF(K$11&gt;K62,K61,0)</f>
        <v>0</v>
      </c>
      <c r="M63" s="39">
        <f>+IF(M$11&gt;M62,M61,0)</f>
        <v>0</v>
      </c>
    </row>
    <row r="64" spans="2:13" hidden="1" outlineLevel="1" x14ac:dyDescent="0.4">
      <c r="B64" t="s">
        <v>17</v>
      </c>
      <c r="E64" s="9">
        <f>+E63*E62</f>
        <v>0</v>
      </c>
      <c r="G64" s="9">
        <f>+G63*G62</f>
        <v>0</v>
      </c>
      <c r="I64" s="9">
        <f>+I63*I62</f>
        <v>0</v>
      </c>
      <c r="K64" s="9">
        <f>+K63*K62</f>
        <v>0</v>
      </c>
      <c r="M64" s="9">
        <f>+M63*M62</f>
        <v>0</v>
      </c>
    </row>
    <row r="65" spans="2:13" collapsed="1" x14ac:dyDescent="0.4"/>
    <row r="66" spans="2:13" x14ac:dyDescent="0.4">
      <c r="B66" t="s">
        <v>25</v>
      </c>
      <c r="E66" s="38"/>
      <c r="G66" s="38"/>
      <c r="I66" s="38"/>
      <c r="K66" s="38"/>
      <c r="M66" s="38"/>
    </row>
    <row r="67" spans="2:13" x14ac:dyDescent="0.4">
      <c r="B67" t="s">
        <v>13</v>
      </c>
      <c r="E67" s="27"/>
      <c r="G67" s="27"/>
      <c r="I67" s="27"/>
      <c r="K67" s="27"/>
      <c r="M67" s="27"/>
    </row>
    <row r="68" spans="2:13" hidden="1" outlineLevel="1" x14ac:dyDescent="0.4">
      <c r="B68" t="s">
        <v>16</v>
      </c>
      <c r="E68" s="39">
        <f>+IF(E$11&gt;E67,E66,0)</f>
        <v>0</v>
      </c>
      <c r="G68" s="39">
        <f>+IF(G$11&gt;G67,G66,0)</f>
        <v>0</v>
      </c>
      <c r="I68" s="39">
        <f>+IF(I$11&gt;I67,I66,0)</f>
        <v>0</v>
      </c>
      <c r="K68" s="39">
        <f>+IF(K$11&gt;K67,K66,0)</f>
        <v>0</v>
      </c>
      <c r="M68" s="39">
        <f>+IF(M$11&gt;M67,M66,0)</f>
        <v>0</v>
      </c>
    </row>
    <row r="69" spans="2:13" hidden="1" outlineLevel="1" x14ac:dyDescent="0.4">
      <c r="B69" t="s">
        <v>17</v>
      </c>
      <c r="E69" s="9">
        <f>+E68*E67</f>
        <v>0</v>
      </c>
      <c r="G69" s="9">
        <f>+G68*G67</f>
        <v>0</v>
      </c>
      <c r="I69" s="9">
        <f>+I68*I67</f>
        <v>0</v>
      </c>
      <c r="K69" s="9">
        <f>+K68*K67</f>
        <v>0</v>
      </c>
      <c r="M69" s="9">
        <f>+M68*M67</f>
        <v>0</v>
      </c>
    </row>
    <row r="70" spans="2:13" collapsed="1" x14ac:dyDescent="0.4"/>
    <row r="71" spans="2:13" x14ac:dyDescent="0.4">
      <c r="B71" t="s">
        <v>26</v>
      </c>
      <c r="E71" s="38"/>
      <c r="G71" s="38"/>
      <c r="I71" s="38"/>
      <c r="K71" s="38"/>
      <c r="M71" s="38"/>
    </row>
    <row r="72" spans="2:13" x14ac:dyDescent="0.4">
      <c r="B72" t="s">
        <v>13</v>
      </c>
      <c r="E72" s="27"/>
      <c r="G72" s="27"/>
      <c r="I72" s="27"/>
      <c r="K72" s="27"/>
      <c r="M72" s="27"/>
    </row>
    <row r="73" spans="2:13" hidden="1" outlineLevel="1" x14ac:dyDescent="0.4">
      <c r="B73" t="s">
        <v>16</v>
      </c>
      <c r="E73" s="39">
        <f>+IF(E$11&gt;E72,E71,0)</f>
        <v>0</v>
      </c>
      <c r="G73" s="39">
        <f>+IF(G$11&gt;G72,G71,0)</f>
        <v>0</v>
      </c>
      <c r="I73" s="39">
        <f>+IF(I$11&gt;I72,I71,0)</f>
        <v>0</v>
      </c>
      <c r="K73" s="39">
        <f>+IF(K$11&gt;K72,K71,0)</f>
        <v>0</v>
      </c>
      <c r="M73" s="39">
        <f>+IF(M$11&gt;M72,M71,0)</f>
        <v>0</v>
      </c>
    </row>
    <row r="74" spans="2:13" hidden="1" outlineLevel="1" x14ac:dyDescent="0.4">
      <c r="B74" t="s">
        <v>17</v>
      </c>
      <c r="E74" s="9">
        <f>+E73*E72</f>
        <v>0</v>
      </c>
      <c r="G74" s="9">
        <f>+G73*G72</f>
        <v>0</v>
      </c>
      <c r="I74" s="9">
        <f>+I73*I72</f>
        <v>0</v>
      </c>
      <c r="K74" s="9">
        <f>+K73*K72</f>
        <v>0</v>
      </c>
      <c r="M74" s="9">
        <f>+M73*M72</f>
        <v>0</v>
      </c>
    </row>
    <row r="75" spans="2:13" collapsed="1" x14ac:dyDescent="0.4"/>
    <row r="76" spans="2:13" x14ac:dyDescent="0.4">
      <c r="B76" s="5" t="s">
        <v>27</v>
      </c>
      <c r="C76" s="5"/>
      <c r="D76" s="5"/>
      <c r="E76" s="40">
        <f>+SUM(E28,E33,E38,E43,E48,E53,E58,E63,E68,E73)</f>
        <v>1.1299999999999999</v>
      </c>
      <c r="G76" s="40">
        <f>+SUM(G28,G33,G38,G43,G48,G53,G58,G63,G68,G73)</f>
        <v>0</v>
      </c>
      <c r="I76" s="40">
        <f>+SUM(I28,I33,I38,I43,I48,I53,I58,I63,I68,I73)</f>
        <v>2.4569999999999999</v>
      </c>
      <c r="K76" s="40">
        <f>+SUM(K28,K33,K38,K43,K48,K53,K58,K63,K68,K73)</f>
        <v>0</v>
      </c>
      <c r="M76" s="40">
        <f>+SUM(M28,M33,M38,M43,M48,M53,M58,M63,M68,M73)</f>
        <v>0</v>
      </c>
    </row>
    <row r="77" spans="2:13" x14ac:dyDescent="0.4">
      <c r="B77" s="5" t="s">
        <v>28</v>
      </c>
      <c r="E77" s="10">
        <f>+SUM(E29,E34,E39,E44,E49,E54,E59,E64,E69,E74)</f>
        <v>7.4240999999999993</v>
      </c>
      <c r="G77" s="10">
        <f>+SUM(G29,G34,G39,G44,G49,G54,G59,G64,G69,G74)</f>
        <v>0</v>
      </c>
      <c r="I77" s="10">
        <f>+SUM(I29,I34,I39,I44,I49,I54,I59,I64,I69,I74)</f>
        <v>48.722309999999993</v>
      </c>
      <c r="K77" s="10">
        <f>+SUM(K29,K34,K39,K44,K49,K54,K59,K64,K69,K74)</f>
        <v>0</v>
      </c>
      <c r="M77" s="10">
        <f>+SUM(M29,M34,M39,M44,M49,M54,M59,M64,M69,M74)</f>
        <v>0</v>
      </c>
    </row>
    <row r="78" spans="2:13" x14ac:dyDescent="0.4">
      <c r="B78" s="5" t="s">
        <v>29</v>
      </c>
      <c r="C78" s="5"/>
      <c r="D78" s="5"/>
      <c r="E78" s="40">
        <f>IFERROR(E77/E$11,0)</f>
        <v>0.59968497576736657</v>
      </c>
      <c r="G78" s="40">
        <f>IFERROR(G77/G$11,0)</f>
        <v>0</v>
      </c>
      <c r="I78" s="40">
        <f>IFERROR(I77/I$11,0)</f>
        <v>0.18203059852051107</v>
      </c>
      <c r="K78" s="40">
        <f>IFERROR(K77/K$11,0)</f>
        <v>0</v>
      </c>
      <c r="M78" s="40">
        <f>IFERROR(M77/M$11,0)</f>
        <v>0</v>
      </c>
    </row>
    <row r="79" spans="2:13" x14ac:dyDescent="0.4">
      <c r="B79" s="5" t="s">
        <v>30</v>
      </c>
      <c r="C79" s="5"/>
      <c r="D79" s="5"/>
      <c r="E79" s="42">
        <f>+E76-E78</f>
        <v>0.53031502423263333</v>
      </c>
      <c r="G79" s="42">
        <f>+G76-G78</f>
        <v>0</v>
      </c>
      <c r="I79" s="42">
        <f>+I76-I78</f>
        <v>2.2749694014794888</v>
      </c>
      <c r="K79" s="42">
        <f>+K76-K78</f>
        <v>0</v>
      </c>
      <c r="M79" s="42">
        <f>+M76-M78</f>
        <v>0</v>
      </c>
    </row>
    <row r="81" spans="1:13" x14ac:dyDescent="0.4">
      <c r="A81" s="5" t="s">
        <v>63</v>
      </c>
    </row>
    <row r="82" spans="1:13" x14ac:dyDescent="0.4">
      <c r="B82" t="s">
        <v>31</v>
      </c>
      <c r="E82" s="38"/>
      <c r="G82" s="38"/>
      <c r="I82" s="38"/>
      <c r="K82" s="38"/>
      <c r="M82" s="38"/>
    </row>
    <row r="83" spans="1:13" x14ac:dyDescent="0.4">
      <c r="B83" t="s">
        <v>13</v>
      </c>
      <c r="E83" s="27"/>
      <c r="G83" s="27"/>
      <c r="I83" s="27"/>
      <c r="K83" s="27"/>
      <c r="M83" s="27"/>
    </row>
    <row r="84" spans="1:13" x14ac:dyDescent="0.4">
      <c r="B84" t="s">
        <v>33</v>
      </c>
      <c r="E84" s="39">
        <f>+IF(E$11&gt;E83,E82,0)</f>
        <v>0</v>
      </c>
      <c r="G84" s="39">
        <f>+IF(G$11&gt;G83,G82,0)</f>
        <v>0</v>
      </c>
      <c r="I84" s="39">
        <f>+IF(I$11&gt;I83,I82,0)</f>
        <v>0</v>
      </c>
      <c r="K84" s="39">
        <f>+IF(K$11&gt;K83,K82,0)</f>
        <v>0</v>
      </c>
      <c r="M84" s="39">
        <f>+IF(M$11&gt;M83,M82,0)</f>
        <v>0</v>
      </c>
    </row>
    <row r="85" spans="1:13" x14ac:dyDescent="0.4">
      <c r="B85" t="s">
        <v>34</v>
      </c>
      <c r="E85" s="9">
        <f>+E84*E83</f>
        <v>0</v>
      </c>
      <c r="G85" s="9">
        <f>+G84*G83</f>
        <v>0</v>
      </c>
      <c r="I85" s="9">
        <f>+I84*I83</f>
        <v>0</v>
      </c>
      <c r="K85" s="9">
        <f>+K84*K83</f>
        <v>0</v>
      </c>
      <c r="M85" s="9">
        <f>+M84*M83</f>
        <v>0</v>
      </c>
    </row>
    <row r="87" spans="1:13" x14ac:dyDescent="0.4">
      <c r="B87" t="s">
        <v>32</v>
      </c>
      <c r="E87" s="38"/>
      <c r="G87" s="38"/>
      <c r="I87" s="38"/>
      <c r="K87" s="38"/>
      <c r="M87" s="38"/>
    </row>
    <row r="88" spans="1:13" x14ac:dyDescent="0.4">
      <c r="B88" t="s">
        <v>13</v>
      </c>
      <c r="E88" s="27"/>
      <c r="G88" s="27"/>
      <c r="I88" s="27"/>
      <c r="K88" s="27"/>
      <c r="M88" s="27"/>
    </row>
    <row r="89" spans="1:13" x14ac:dyDescent="0.4">
      <c r="B89" t="s">
        <v>33</v>
      </c>
      <c r="E89" s="39">
        <f>+IF(E$11&gt;E88,E87,0)</f>
        <v>0</v>
      </c>
      <c r="G89" s="39">
        <f>+IF(G$11&gt;G88,G87,0)</f>
        <v>0</v>
      </c>
      <c r="I89" s="39">
        <f>+IF(I$11&gt;I88,I87,0)</f>
        <v>0</v>
      </c>
      <c r="K89" s="39">
        <f>+IF(K$11&gt;K88,K87,0)</f>
        <v>0</v>
      </c>
      <c r="M89" s="39">
        <f>+IF(M$11&gt;M88,M87,0)</f>
        <v>0</v>
      </c>
    </row>
    <row r="90" spans="1:13" x14ac:dyDescent="0.4">
      <c r="B90" t="s">
        <v>34</v>
      </c>
      <c r="E90" s="9">
        <f>+E89*E88</f>
        <v>0</v>
      </c>
      <c r="G90" s="9">
        <f>+G89*G88</f>
        <v>0</v>
      </c>
      <c r="I90" s="9">
        <f>+I89*I88</f>
        <v>0</v>
      </c>
      <c r="K90" s="9">
        <f>+K89*K88</f>
        <v>0</v>
      </c>
      <c r="M90" s="9">
        <f>+M89*M88</f>
        <v>0</v>
      </c>
    </row>
    <row r="92" spans="1:13" x14ac:dyDescent="0.4">
      <c r="B92" s="5" t="s">
        <v>35</v>
      </c>
      <c r="C92" s="5"/>
      <c r="D92" s="5"/>
      <c r="E92" s="40">
        <f>+SUM(E84,E89)</f>
        <v>0</v>
      </c>
      <c r="G92" s="40">
        <f>+SUM(G84,G89)</f>
        <v>0</v>
      </c>
      <c r="I92" s="40">
        <f>+SUM(I84,I89)</f>
        <v>0</v>
      </c>
      <c r="K92" s="40">
        <f>+SUM(K84,K89)</f>
        <v>0</v>
      </c>
      <c r="M92" s="40">
        <f>+SUM(M84,M89)</f>
        <v>0</v>
      </c>
    </row>
    <row r="93" spans="1:13" x14ac:dyDescent="0.4">
      <c r="B93" s="5" t="s">
        <v>36</v>
      </c>
      <c r="E93" s="10">
        <f>+SUM(E85,E90)</f>
        <v>0</v>
      </c>
      <c r="G93" s="10">
        <f>+SUM(G85,G90)</f>
        <v>0</v>
      </c>
      <c r="I93" s="10">
        <f>+SUM(I85,I90)</f>
        <v>0</v>
      </c>
      <c r="K93" s="10">
        <f>+SUM(K85,K90)</f>
        <v>0</v>
      </c>
      <c r="M93" s="10">
        <f>+SUM(M85,M90)</f>
        <v>0</v>
      </c>
    </row>
    <row r="94" spans="1:13" x14ac:dyDescent="0.4">
      <c r="B94" s="5" t="s">
        <v>29</v>
      </c>
      <c r="C94" s="5"/>
      <c r="D94" s="5"/>
      <c r="E94" s="40">
        <f>IFERROR(E93/E$11,0)</f>
        <v>0</v>
      </c>
      <c r="G94" s="40">
        <f>IFERROR(G93/G$11,0)</f>
        <v>0</v>
      </c>
      <c r="I94" s="40">
        <f>IFERROR(I93/I$11,0)</f>
        <v>0</v>
      </c>
      <c r="K94" s="40">
        <f>IFERROR(K93/K$11,0)</f>
        <v>0</v>
      </c>
      <c r="M94" s="40">
        <f>IFERROR(M93/M$11,0)</f>
        <v>0</v>
      </c>
    </row>
    <row r="95" spans="1:13" x14ac:dyDescent="0.4">
      <c r="B95" s="5" t="s">
        <v>37</v>
      </c>
      <c r="C95" s="5"/>
      <c r="D95" s="5"/>
      <c r="E95" s="42">
        <f>+E92-E94</f>
        <v>0</v>
      </c>
      <c r="G95" s="42">
        <f>+G92-G94</f>
        <v>0</v>
      </c>
      <c r="I95" s="42">
        <f>+I92-I94</f>
        <v>0</v>
      </c>
      <c r="K95" s="42">
        <f>+K92-K94</f>
        <v>0</v>
      </c>
      <c r="M95" s="42">
        <f>+M92-M94</f>
        <v>0</v>
      </c>
    </row>
    <row r="97" spans="1:14" x14ac:dyDescent="0.4">
      <c r="A97" s="5" t="s">
        <v>64</v>
      </c>
    </row>
    <row r="98" spans="1:14" x14ac:dyDescent="0.4">
      <c r="B98" t="s">
        <v>38</v>
      </c>
      <c r="E98" s="7"/>
      <c r="G98" s="7"/>
      <c r="I98" s="7"/>
      <c r="K98" s="7"/>
      <c r="M98" s="7"/>
    </row>
    <row r="99" spans="1:14" x14ac:dyDescent="0.4">
      <c r="B99" t="s">
        <v>39</v>
      </c>
      <c r="E99" s="7"/>
      <c r="G99" s="7"/>
      <c r="I99" s="7"/>
      <c r="K99" s="7"/>
      <c r="M99" s="7"/>
    </row>
    <row r="101" spans="1:14" x14ac:dyDescent="0.4">
      <c r="B101" s="5" t="s">
        <v>40</v>
      </c>
      <c r="C101" s="56"/>
      <c r="E101" s="42">
        <f>+E21+E79+E95+E98+E99</f>
        <v>137.00572602423264</v>
      </c>
      <c r="G101" s="42">
        <f>+G21+G79+G95+G98+G99</f>
        <v>4181.1870799999997</v>
      </c>
      <c r="I101" s="42">
        <f>+I21+I79+I95+I98+I99</f>
        <v>322.8085814014795</v>
      </c>
      <c r="K101" s="42">
        <f>+K21+K79+K95+K98+K99</f>
        <v>1354.3889999999999</v>
      </c>
      <c r="M101" s="42">
        <f>+M21+M79+M95+M98+M99</f>
        <v>342.10736600000001</v>
      </c>
    </row>
    <row r="103" spans="1:14" x14ac:dyDescent="0.4">
      <c r="A103" s="15" t="s">
        <v>41</v>
      </c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</row>
    <row r="104" spans="1:14" s="4" customFormat="1" x14ac:dyDescent="0.4">
      <c r="B104" s="4" t="s">
        <v>8</v>
      </c>
      <c r="E104" s="43" t="s">
        <v>115</v>
      </c>
      <c r="G104" s="43" t="s">
        <v>115</v>
      </c>
      <c r="I104" s="43" t="s">
        <v>117</v>
      </c>
      <c r="K104" s="43" t="s">
        <v>117</v>
      </c>
      <c r="M104" s="43" t="s">
        <v>117</v>
      </c>
    </row>
    <row r="105" spans="1:14" s="4" customFormat="1" x14ac:dyDescent="0.4">
      <c r="B105" s="4" t="s">
        <v>10</v>
      </c>
      <c r="E105" s="49">
        <f>+E13</f>
        <v>45291</v>
      </c>
      <c r="G105" s="49">
        <f>+G13</f>
        <v>45318</v>
      </c>
      <c r="I105" s="49">
        <f>+I13</f>
        <v>45291</v>
      </c>
      <c r="K105" s="49">
        <f>+K13</f>
        <v>45230</v>
      </c>
      <c r="M105" s="49">
        <f>+M13</f>
        <v>45291</v>
      </c>
    </row>
    <row r="107" spans="1:14" x14ac:dyDescent="0.4">
      <c r="B107" s="11" t="s">
        <v>57</v>
      </c>
      <c r="E107" s="35">
        <v>221.40299999999999</v>
      </c>
      <c r="G107" s="35">
        <v>13715</v>
      </c>
      <c r="I107" s="35">
        <v>1938.606</v>
      </c>
      <c r="K107" s="35">
        <v>4270</v>
      </c>
      <c r="M107" s="35">
        <v>1068.0999999999999</v>
      </c>
    </row>
    <row r="108" spans="1:14" x14ac:dyDescent="0.4">
      <c r="B108" s="11" t="s">
        <v>42</v>
      </c>
      <c r="E108" s="35">
        <v>0</v>
      </c>
      <c r="G108" s="35">
        <v>11956</v>
      </c>
      <c r="I108" s="35">
        <v>3069.3620000000001</v>
      </c>
      <c r="K108" s="35">
        <v>0</v>
      </c>
      <c r="M108" s="35">
        <v>139.4</v>
      </c>
    </row>
    <row r="109" spans="1:14" x14ac:dyDescent="0.4">
      <c r="B109" s="11" t="s">
        <v>43</v>
      </c>
      <c r="E109" s="35">
        <v>0</v>
      </c>
      <c r="G109" s="35">
        <v>0</v>
      </c>
      <c r="I109" s="35">
        <v>0</v>
      </c>
      <c r="K109" s="35">
        <v>0</v>
      </c>
      <c r="M109" s="35">
        <v>116.8</v>
      </c>
    </row>
    <row r="110" spans="1:14" s="5" customFormat="1" x14ac:dyDescent="0.4">
      <c r="B110" s="5" t="s">
        <v>44</v>
      </c>
      <c r="E110" s="41">
        <f>+SUM(E107:E109)</f>
        <v>221.40299999999999</v>
      </c>
      <c r="G110" s="41">
        <f>+SUM(G107:G109)</f>
        <v>25671</v>
      </c>
      <c r="I110" s="41">
        <f>+SUM(I107:I109)</f>
        <v>5007.9679999999998</v>
      </c>
      <c r="K110" s="41">
        <f>+SUM(K107:K109)</f>
        <v>4270</v>
      </c>
      <c r="M110" s="41">
        <f>+SUM(M107:M109)</f>
        <v>1324.3</v>
      </c>
    </row>
    <row r="111" spans="1:14" x14ac:dyDescent="0.4">
      <c r="B111" s="11" t="s">
        <v>45</v>
      </c>
      <c r="E111" s="35">
        <v>112.047</v>
      </c>
      <c r="G111" s="35">
        <v>4884</v>
      </c>
      <c r="I111" s="35">
        <v>1024.569</v>
      </c>
      <c r="K111" s="35">
        <v>3481</v>
      </c>
      <c r="M111" s="35">
        <v>1044.0999999999999</v>
      </c>
    </row>
    <row r="112" spans="1:14" x14ac:dyDescent="0.4">
      <c r="B112" s="11" t="s">
        <v>46</v>
      </c>
      <c r="E112" s="35">
        <v>152.52099999999999</v>
      </c>
      <c r="G112" s="35">
        <v>3209</v>
      </c>
      <c r="I112" s="35">
        <v>1945.1799999999998</v>
      </c>
      <c r="K112" s="35">
        <v>4607</v>
      </c>
      <c r="M112" s="35">
        <v>952.4</v>
      </c>
    </row>
    <row r="113" spans="2:13" x14ac:dyDescent="0.4">
      <c r="B113" s="11" t="s">
        <v>47</v>
      </c>
      <c r="E113" s="35">
        <f>13.104+395.606</f>
        <v>408.71</v>
      </c>
      <c r="G113" s="35">
        <f>39087+1678</f>
        <v>40765</v>
      </c>
      <c r="I113" s="35">
        <f>88.768+268.531</f>
        <v>357.29899999999998</v>
      </c>
      <c r="K113" s="35">
        <f>17988+654</f>
        <v>18642</v>
      </c>
      <c r="M113" s="35">
        <f>91.8+3734.4</f>
        <v>3826.2000000000003</v>
      </c>
    </row>
    <row r="114" spans="2:13" x14ac:dyDescent="0.4">
      <c r="B114" s="11" t="s">
        <v>124</v>
      </c>
      <c r="E114" s="35">
        <v>0</v>
      </c>
      <c r="G114" s="35">
        <v>0</v>
      </c>
      <c r="I114" s="35">
        <v>0</v>
      </c>
      <c r="K114" s="35">
        <v>2197</v>
      </c>
      <c r="M114" s="35">
        <f>2.5+107.7</f>
        <v>110.2</v>
      </c>
    </row>
    <row r="115" spans="2:13" ht="13.2" customHeight="1" x14ac:dyDescent="0.4">
      <c r="B115" s="11" t="s">
        <v>126</v>
      </c>
      <c r="E115" s="35">
        <v>47.597999999999999</v>
      </c>
      <c r="G115" s="35">
        <v>2005</v>
      </c>
      <c r="I115" s="35">
        <v>101.58</v>
      </c>
      <c r="K115" s="35">
        <v>5989</v>
      </c>
      <c r="M115" s="35">
        <v>689.9</v>
      </c>
    </row>
    <row r="116" spans="2:13" ht="13.2" customHeight="1" x14ac:dyDescent="0.4">
      <c r="B116" s="11" t="s">
        <v>125</v>
      </c>
      <c r="E116" s="35">
        <v>0</v>
      </c>
      <c r="G116" s="35">
        <v>0</v>
      </c>
      <c r="I116" s="35">
        <v>0</v>
      </c>
      <c r="K116" s="35">
        <v>0</v>
      </c>
      <c r="M116" s="35">
        <v>0</v>
      </c>
    </row>
    <row r="117" spans="2:13" x14ac:dyDescent="0.4">
      <c r="E117" s="34"/>
      <c r="G117" s="34"/>
      <c r="I117" s="34"/>
      <c r="K117" s="34"/>
      <c r="M117" s="34"/>
    </row>
    <row r="118" spans="2:13" x14ac:dyDescent="0.4">
      <c r="B118" s="11" t="s">
        <v>48</v>
      </c>
      <c r="E118" s="35">
        <v>0</v>
      </c>
      <c r="G118" s="35">
        <v>0</v>
      </c>
      <c r="I118" s="35">
        <v>0</v>
      </c>
      <c r="K118" s="35">
        <v>4868</v>
      </c>
      <c r="M118" s="35">
        <v>0</v>
      </c>
    </row>
    <row r="119" spans="2:13" x14ac:dyDescent="0.4">
      <c r="B119" s="11" t="s">
        <v>49</v>
      </c>
      <c r="E119" s="35">
        <v>9.3249999999999993</v>
      </c>
      <c r="G119" s="35">
        <v>4936</v>
      </c>
      <c r="I119" s="35">
        <v>0</v>
      </c>
      <c r="K119" s="35">
        <v>0</v>
      </c>
      <c r="M119" s="35">
        <v>0</v>
      </c>
    </row>
    <row r="120" spans="2:13" x14ac:dyDescent="0.4">
      <c r="B120" s="11" t="s">
        <v>50</v>
      </c>
      <c r="E120" s="35">
        <v>0</v>
      </c>
      <c r="G120" s="35">
        <v>0</v>
      </c>
      <c r="I120" s="35">
        <v>0</v>
      </c>
      <c r="K120" s="35">
        <v>0</v>
      </c>
      <c r="M120" s="35">
        <v>0</v>
      </c>
    </row>
    <row r="121" spans="2:13" x14ac:dyDescent="0.4">
      <c r="B121" s="11" t="s">
        <v>51</v>
      </c>
      <c r="E121" s="35">
        <v>0</v>
      </c>
      <c r="G121" s="35">
        <v>0</v>
      </c>
      <c r="I121" s="35">
        <v>0</v>
      </c>
      <c r="K121" s="35">
        <v>0</v>
      </c>
      <c r="M121" s="35">
        <v>0</v>
      </c>
    </row>
    <row r="122" spans="2:13" s="5" customFormat="1" x14ac:dyDescent="0.4">
      <c r="B122" s="5" t="s">
        <v>52</v>
      </c>
      <c r="E122" s="41">
        <f>+SUM(E118:E121)</f>
        <v>9.3249999999999993</v>
      </c>
      <c r="G122" s="41">
        <f>+SUM(G118:G121)</f>
        <v>4936</v>
      </c>
      <c r="I122" s="41">
        <f>+SUM(I118:I121)</f>
        <v>0</v>
      </c>
      <c r="K122" s="41">
        <f>+SUM(K118:K121)</f>
        <v>4868</v>
      </c>
      <c r="M122" s="41">
        <f>+SUM(M118:M121)</f>
        <v>0</v>
      </c>
    </row>
    <row r="123" spans="2:13" x14ac:dyDescent="0.4">
      <c r="B123" s="11" t="s">
        <v>59</v>
      </c>
      <c r="E123" s="35">
        <v>182.93100000000001</v>
      </c>
      <c r="G123" s="35">
        <v>6669</v>
      </c>
      <c r="I123" s="35">
        <v>0</v>
      </c>
      <c r="K123" s="35">
        <v>7487</v>
      </c>
      <c r="M123" s="35">
        <v>1616.8</v>
      </c>
    </row>
    <row r="124" spans="2:13" x14ac:dyDescent="0.4">
      <c r="B124" s="11" t="s">
        <v>53</v>
      </c>
      <c r="E124" s="35">
        <v>0</v>
      </c>
      <c r="G124" s="35">
        <v>0</v>
      </c>
      <c r="I124" s="35">
        <v>0</v>
      </c>
      <c r="K124" s="35">
        <v>0</v>
      </c>
      <c r="M124" s="35">
        <v>0</v>
      </c>
    </row>
    <row r="125" spans="2:13" x14ac:dyDescent="0.4">
      <c r="B125" s="11" t="s">
        <v>58</v>
      </c>
      <c r="E125" s="35">
        <v>0</v>
      </c>
      <c r="G125" s="35">
        <v>0</v>
      </c>
      <c r="I125" s="35">
        <v>0</v>
      </c>
      <c r="K125" s="35">
        <v>0</v>
      </c>
      <c r="M125" s="35">
        <v>0</v>
      </c>
    </row>
    <row r="126" spans="2:13" s="5" customFormat="1" x14ac:dyDescent="0.4">
      <c r="B126" s="5" t="s">
        <v>54</v>
      </c>
      <c r="E126" s="41">
        <f>+SUM(E123:E125)</f>
        <v>182.93100000000001</v>
      </c>
      <c r="G126" s="41">
        <f>+SUM(G123:G125)</f>
        <v>6669</v>
      </c>
      <c r="I126" s="41">
        <f>+SUM(I123:I125)</f>
        <v>0</v>
      </c>
      <c r="K126" s="41">
        <f>+SUM(K123:K125)</f>
        <v>7487</v>
      </c>
      <c r="M126" s="41">
        <f>+SUM(M123:M125)</f>
        <v>1616.8</v>
      </c>
    </row>
    <row r="127" spans="2:13" x14ac:dyDescent="0.4">
      <c r="E127" s="34"/>
      <c r="G127" s="34"/>
      <c r="I127" s="34"/>
      <c r="K127" s="34"/>
      <c r="M127" s="34"/>
    </row>
    <row r="128" spans="2:13" x14ac:dyDescent="0.4">
      <c r="B128" s="11" t="s">
        <v>55</v>
      </c>
      <c r="E128" s="35">
        <v>0</v>
      </c>
      <c r="G128" s="35">
        <v>0</v>
      </c>
      <c r="I128" s="35">
        <v>0</v>
      </c>
      <c r="K128" s="35">
        <v>56</v>
      </c>
      <c r="M128" s="35">
        <v>0</v>
      </c>
    </row>
    <row r="129" spans="1:14" x14ac:dyDescent="0.4">
      <c r="B129" s="11" t="s">
        <v>56</v>
      </c>
      <c r="E129" s="35">
        <v>0</v>
      </c>
      <c r="G129" s="35">
        <v>0</v>
      </c>
      <c r="I129" s="35">
        <v>0</v>
      </c>
      <c r="K129" s="35">
        <v>0</v>
      </c>
      <c r="M129" s="35">
        <v>0</v>
      </c>
    </row>
    <row r="130" spans="1:14" s="5" customFormat="1" x14ac:dyDescent="0.4">
      <c r="B130" s="5" t="s">
        <v>60</v>
      </c>
      <c r="E130" s="44">
        <v>108.184</v>
      </c>
      <c r="G130" s="44">
        <v>46251</v>
      </c>
      <c r="I130" s="44">
        <v>7219.0589999999993</v>
      </c>
      <c r="K130" s="44">
        <v>21238</v>
      </c>
      <c r="M130" s="44">
        <v>9518.5</v>
      </c>
    </row>
    <row r="132" spans="1:14" x14ac:dyDescent="0.4">
      <c r="A132" s="15" t="s">
        <v>123</v>
      </c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</row>
    <row r="134" spans="1:14" ht="13.2" customHeight="1" x14ac:dyDescent="0.4">
      <c r="B134" s="11" t="s">
        <v>109</v>
      </c>
      <c r="C134" s="56" t="s">
        <v>146</v>
      </c>
      <c r="E134" s="52">
        <f>+E11</f>
        <v>12.38</v>
      </c>
      <c r="G134" s="52">
        <f>+G11</f>
        <v>48.86</v>
      </c>
      <c r="I134" s="52">
        <f>+I11</f>
        <v>267.66000000000003</v>
      </c>
      <c r="K134" s="52">
        <f>+K11</f>
        <v>15.11</v>
      </c>
      <c r="M134" s="52">
        <f>+M11</f>
        <v>37.18</v>
      </c>
    </row>
    <row r="135" spans="1:14" ht="13.2" customHeight="1" x14ac:dyDescent="0.4">
      <c r="B135" s="11" t="s">
        <v>40</v>
      </c>
      <c r="C135" s="56" t="s">
        <v>147</v>
      </c>
      <c r="E135" s="53">
        <f>+E101</f>
        <v>137.00572602423264</v>
      </c>
      <c r="G135" s="53">
        <f>+G101</f>
        <v>4181.1870799999997</v>
      </c>
      <c r="I135" s="53">
        <f>+I101</f>
        <v>322.8085814014795</v>
      </c>
      <c r="K135" s="53">
        <f>+K101</f>
        <v>1354.3889999999999</v>
      </c>
      <c r="M135" s="53">
        <f>+M101</f>
        <v>342.10736600000001</v>
      </c>
    </row>
    <row r="136" spans="1:14" s="5" customFormat="1" x14ac:dyDescent="0.4">
      <c r="B136" s="5" t="s">
        <v>110</v>
      </c>
      <c r="C136" s="56" t="s">
        <v>148</v>
      </c>
      <c r="E136" s="24">
        <f>+E134*E135</f>
        <v>1696.1308881800003</v>
      </c>
      <c r="G136" s="24">
        <f>+G134*G135</f>
        <v>204292.80072879998</v>
      </c>
      <c r="I136" s="24">
        <f>+I134*I135</f>
        <v>86402.94489792001</v>
      </c>
      <c r="K136" s="24">
        <f>+K134*K135</f>
        <v>20464.817789999997</v>
      </c>
      <c r="M136" s="24">
        <f>+M134*M135</f>
        <v>12719.55186788</v>
      </c>
    </row>
    <row r="138" spans="1:14" x14ac:dyDescent="0.4">
      <c r="B138" s="11" t="s">
        <v>111</v>
      </c>
      <c r="C138" s="56" t="s">
        <v>149</v>
      </c>
      <c r="E138" s="8">
        <f>+E122+E126</f>
        <v>192.256</v>
      </c>
      <c r="G138" s="8">
        <f>+G122+G126</f>
        <v>11605</v>
      </c>
      <c r="I138" s="8">
        <f>+I122+I126</f>
        <v>0</v>
      </c>
      <c r="K138" s="8">
        <f>+K122+K126</f>
        <v>12355</v>
      </c>
      <c r="M138" s="8">
        <f>+M122+M126</f>
        <v>1616.8</v>
      </c>
    </row>
    <row r="139" spans="1:14" ht="13.2" customHeight="1" x14ac:dyDescent="0.4">
      <c r="B139" s="11" t="s">
        <v>112</v>
      </c>
      <c r="C139" s="56" t="s">
        <v>150</v>
      </c>
      <c r="E139" s="8">
        <f>+E128</f>
        <v>0</v>
      </c>
      <c r="G139" s="8">
        <f>+G128</f>
        <v>0</v>
      </c>
      <c r="I139" s="8">
        <f>+I128</f>
        <v>0</v>
      </c>
      <c r="K139" s="8">
        <f>+K128</f>
        <v>56</v>
      </c>
      <c r="M139" s="8">
        <f>+M128</f>
        <v>0</v>
      </c>
    </row>
    <row r="140" spans="1:14" x14ac:dyDescent="0.4">
      <c r="B140" s="11" t="s">
        <v>56</v>
      </c>
      <c r="C140" s="56" t="s">
        <v>151</v>
      </c>
      <c r="E140" s="8">
        <f>+E129</f>
        <v>0</v>
      </c>
      <c r="G140" s="8">
        <f>+G129</f>
        <v>0</v>
      </c>
      <c r="I140" s="8">
        <f>+I129</f>
        <v>0</v>
      </c>
      <c r="K140" s="8">
        <f>+K129</f>
        <v>0</v>
      </c>
      <c r="M140" s="8">
        <f>+M129</f>
        <v>0</v>
      </c>
    </row>
    <row r="141" spans="1:14" x14ac:dyDescent="0.4">
      <c r="B141" s="11" t="s">
        <v>44</v>
      </c>
      <c r="C141" s="56" t="s">
        <v>152</v>
      </c>
      <c r="E141" s="8">
        <f>+E110*-1</f>
        <v>-221.40299999999999</v>
      </c>
      <c r="G141" s="8">
        <f>+G110*-1</f>
        <v>-25671</v>
      </c>
      <c r="I141" s="8">
        <f>+I110*-1</f>
        <v>-5007.9679999999998</v>
      </c>
      <c r="K141" s="8">
        <f>+K110*-1</f>
        <v>-4270</v>
      </c>
      <c r="M141" s="8">
        <f>+M110*-1</f>
        <v>-1324.3</v>
      </c>
    </row>
    <row r="142" spans="1:14" s="5" customFormat="1" x14ac:dyDescent="0.4">
      <c r="B142" s="5" t="s">
        <v>113</v>
      </c>
      <c r="C142" s="56" t="s">
        <v>169</v>
      </c>
      <c r="E142" s="13">
        <f>SUM(E138:E141)</f>
        <v>-29.146999999999991</v>
      </c>
      <c r="G142" s="13">
        <f>SUM(G138:G141)</f>
        <v>-14066</v>
      </c>
      <c r="I142" s="13">
        <f>SUM(I138:I141)</f>
        <v>-5007.9679999999998</v>
      </c>
      <c r="K142" s="13">
        <f>SUM(K138:K141)</f>
        <v>8141</v>
      </c>
      <c r="M142" s="13">
        <f>SUM(M138:M141)</f>
        <v>292.5</v>
      </c>
    </row>
    <row r="144" spans="1:14" s="5" customFormat="1" x14ac:dyDescent="0.4">
      <c r="B144" s="5" t="s">
        <v>114</v>
      </c>
      <c r="C144" s="56" t="s">
        <v>170</v>
      </c>
      <c r="E144" s="10">
        <f>+E136+E142</f>
        <v>1666.9838881800003</v>
      </c>
      <c r="G144" s="10">
        <f>+G136+G142</f>
        <v>190226.80072879998</v>
      </c>
      <c r="I144" s="10">
        <f>+I136+I142</f>
        <v>81394.976897920016</v>
      </c>
      <c r="K144" s="10">
        <f>+K136+K142</f>
        <v>28605.817789999997</v>
      </c>
      <c r="M144" s="10">
        <f>+M136+M142</f>
        <v>13012.05186788</v>
      </c>
    </row>
    <row r="146" spans="1:14" x14ac:dyDescent="0.4">
      <c r="A146" s="15" t="s">
        <v>61</v>
      </c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</row>
    <row r="148" spans="1:14" s="5" customFormat="1" ht="13.2" customHeight="1" x14ac:dyDescent="0.4">
      <c r="A148" s="14" t="s">
        <v>65</v>
      </c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</row>
    <row r="149" spans="1:14" s="4" customFormat="1" x14ac:dyDescent="0.4">
      <c r="B149" s="4" t="s">
        <v>8</v>
      </c>
      <c r="E149" s="43" t="s">
        <v>117</v>
      </c>
      <c r="G149" s="43" t="s">
        <v>117</v>
      </c>
      <c r="I149" s="43" t="s">
        <v>117</v>
      </c>
      <c r="K149" s="43" t="s">
        <v>117</v>
      </c>
      <c r="M149" s="43" t="s">
        <v>117</v>
      </c>
    </row>
    <row r="150" spans="1:14" s="4" customFormat="1" x14ac:dyDescent="0.4">
      <c r="B150" s="4" t="s">
        <v>10</v>
      </c>
      <c r="E150" s="49">
        <f>+E12</f>
        <v>45107</v>
      </c>
      <c r="G150" s="49">
        <f>+G12</f>
        <v>45136</v>
      </c>
      <c r="I150" s="49">
        <f>+I12</f>
        <v>45291</v>
      </c>
      <c r="K150" s="49">
        <f>+K12</f>
        <v>45230</v>
      </c>
      <c r="M150" s="49">
        <f>+M12</f>
        <v>45291</v>
      </c>
    </row>
    <row r="152" spans="1:14" ht="13.2" customHeight="1" x14ac:dyDescent="0.4">
      <c r="B152" t="s">
        <v>66</v>
      </c>
      <c r="E152" s="35">
        <v>1312.454</v>
      </c>
      <c r="G152" s="35">
        <v>56998</v>
      </c>
      <c r="I152" s="35">
        <v>5860.1680000000006</v>
      </c>
      <c r="K152" s="35">
        <v>29135</v>
      </c>
      <c r="M152" s="35">
        <v>5564.5</v>
      </c>
    </row>
    <row r="153" spans="1:14" x14ac:dyDescent="0.4">
      <c r="B153" t="s">
        <v>80</v>
      </c>
      <c r="E153" s="35">
        <v>-557.73400000000004</v>
      </c>
      <c r="G153" s="35">
        <v>-21245</v>
      </c>
      <c r="I153" s="35">
        <v>-2229.8870000000002</v>
      </c>
      <c r="K153" s="35">
        <f>-11958-6555-383</f>
        <v>-18896</v>
      </c>
      <c r="M153" s="35">
        <v>-2362.6</v>
      </c>
    </row>
    <row r="154" spans="1:14" x14ac:dyDescent="0.4">
      <c r="B154" t="s">
        <v>67</v>
      </c>
      <c r="E154" s="45">
        <f>+E152+E153</f>
        <v>754.71999999999991</v>
      </c>
      <c r="G154" s="45">
        <f>+G152+G153</f>
        <v>35753</v>
      </c>
      <c r="I154" s="45">
        <f>+I152+I153</f>
        <v>3630.2810000000004</v>
      </c>
      <c r="K154" s="45">
        <f>+K152+K153</f>
        <v>10239</v>
      </c>
      <c r="M154" s="45">
        <f>+M152+M153</f>
        <v>3201.9</v>
      </c>
    </row>
    <row r="155" spans="1:14" x14ac:dyDescent="0.4">
      <c r="B155" t="s">
        <v>81</v>
      </c>
      <c r="E155" s="35">
        <v>-646.40700000000004</v>
      </c>
      <c r="G155" s="35">
        <v>-20722</v>
      </c>
      <c r="I155" s="35">
        <v>-1373.0320000000002</v>
      </c>
      <c r="K155" s="35">
        <f>-2349-5160-288-283-1-69</f>
        <v>-8150</v>
      </c>
      <c r="M155" s="35">
        <v>-2731.8</v>
      </c>
    </row>
    <row r="156" spans="1:14" s="5" customFormat="1" x14ac:dyDescent="0.4">
      <c r="B156" s="5" t="s">
        <v>68</v>
      </c>
      <c r="E156" s="46">
        <f>+E154+E155</f>
        <v>108.31299999999987</v>
      </c>
      <c r="G156" s="46">
        <f>+G154+G155</f>
        <v>15031</v>
      </c>
      <c r="I156" s="46">
        <f>+I154+I155</f>
        <v>2257.2490000000003</v>
      </c>
      <c r="K156" s="46">
        <f>+K154+K155</f>
        <v>2089</v>
      </c>
      <c r="M156" s="46">
        <f>+M154+M155</f>
        <v>470.09999999999991</v>
      </c>
    </row>
    <row r="157" spans="1:14" x14ac:dyDescent="0.4">
      <c r="B157" t="s">
        <v>82</v>
      </c>
      <c r="E157" s="47">
        <f>3.155-17.385+0.023</f>
        <v>-14.207000000000003</v>
      </c>
      <c r="G157" s="47">
        <f>962-427-248</f>
        <v>287</v>
      </c>
      <c r="I157" s="47">
        <v>164.77699999999999</v>
      </c>
      <c r="K157" s="47">
        <f>-156+55-3+245</f>
        <v>141</v>
      </c>
      <c r="M157" s="47">
        <f>-97.3-23.8</f>
        <v>-121.1</v>
      </c>
    </row>
    <row r="158" spans="1:14" x14ac:dyDescent="0.4">
      <c r="B158" t="s">
        <v>69</v>
      </c>
      <c r="E158" s="48">
        <f>+E156+E157</f>
        <v>94.105999999999867</v>
      </c>
      <c r="G158" s="48">
        <f>+G156+G157</f>
        <v>15318</v>
      </c>
      <c r="I158" s="48">
        <f>+I156+I157</f>
        <v>2422.0260000000003</v>
      </c>
      <c r="K158" s="48">
        <f>+K156+K157</f>
        <v>2230</v>
      </c>
      <c r="M158" s="48">
        <f>+M156+M157</f>
        <v>348.99999999999989</v>
      </c>
    </row>
    <row r="159" spans="1:14" x14ac:dyDescent="0.4">
      <c r="B159" t="s">
        <v>70</v>
      </c>
      <c r="E159" s="35">
        <v>-16.032</v>
      </c>
      <c r="G159" s="35">
        <v>-2705</v>
      </c>
      <c r="I159" s="35">
        <v>-334.70500000000004</v>
      </c>
      <c r="K159" s="35">
        <v>-205</v>
      </c>
      <c r="M159" s="35">
        <f>-29.2-9.6</f>
        <v>-38.799999999999997</v>
      </c>
    </row>
    <row r="160" spans="1:14" s="5" customFormat="1" x14ac:dyDescent="0.4">
      <c r="B160" s="5" t="s">
        <v>71</v>
      </c>
      <c r="E160" s="46">
        <f>+E158+E159</f>
        <v>78.07399999999987</v>
      </c>
      <c r="G160" s="46">
        <f>+G158+G159</f>
        <v>12613</v>
      </c>
      <c r="I160" s="46">
        <f>+I158+I159</f>
        <v>2087.3210000000004</v>
      </c>
      <c r="K160" s="46">
        <f>+K158+K159</f>
        <v>2025</v>
      </c>
      <c r="M160" s="46">
        <f>+M158+M159</f>
        <v>310.19999999999987</v>
      </c>
    </row>
    <row r="161" spans="1:15" x14ac:dyDescent="0.4">
      <c r="B161" t="s">
        <v>72</v>
      </c>
      <c r="E161" s="38">
        <v>133.649</v>
      </c>
      <c r="G161" s="38">
        <v>4105</v>
      </c>
      <c r="I161" s="38">
        <v>317.13499999999999</v>
      </c>
      <c r="K161" s="38">
        <v>1316</v>
      </c>
      <c r="M161" s="38">
        <v>325.89999999999998</v>
      </c>
    </row>
    <row r="162" spans="1:15" x14ac:dyDescent="0.4">
      <c r="B162" t="s">
        <v>73</v>
      </c>
      <c r="E162" s="35">
        <f>19.888+14.988-14.916</f>
        <v>19.960000000000004</v>
      </c>
      <c r="G162" s="35">
        <f>1726-912</f>
        <v>814</v>
      </c>
      <c r="I162" s="35">
        <f>70.63-33.437</f>
        <v>37.192999999999998</v>
      </c>
      <c r="K162" s="35">
        <f>2616-288</f>
        <v>2328</v>
      </c>
      <c r="M162" s="35">
        <f>194.7-68.6</f>
        <v>126.1</v>
      </c>
    </row>
    <row r="164" spans="1:15" s="4" customFormat="1" x14ac:dyDescent="0.4">
      <c r="B164" s="4" t="s">
        <v>83</v>
      </c>
      <c r="E164" s="19">
        <f>-(IFERROR(E159/E158,0))</f>
        <v>0.17036108218392051</v>
      </c>
      <c r="G164" s="19">
        <f>-(IFERROR(G159/G158,0))</f>
        <v>0.17658963311137224</v>
      </c>
      <c r="I164" s="19">
        <f>-(IFERROR(I159/I158,0))</f>
        <v>0.13819215813537922</v>
      </c>
      <c r="K164" s="19">
        <f>-(IFERROR(K159/K158,0))</f>
        <v>9.1928251121076235E-2</v>
      </c>
      <c r="M164" s="19">
        <f>-(IFERROR(M159/M158,0))</f>
        <v>0.11117478510028656</v>
      </c>
    </row>
    <row r="165" spans="1:15" s="4" customFormat="1" x14ac:dyDescent="0.4">
      <c r="E165" s="19"/>
      <c r="G165" s="19"/>
      <c r="I165" s="19"/>
      <c r="K165" s="19"/>
      <c r="M165" s="19"/>
    </row>
    <row r="166" spans="1:15" x14ac:dyDescent="0.4">
      <c r="B166" t="s">
        <v>74</v>
      </c>
      <c r="E166" s="35">
        <f>5.369+14.824+22.25+21.029+0.39+2.86+8.026+0.957+14.916</f>
        <v>90.620999999999981</v>
      </c>
      <c r="G166" s="35">
        <f>2347+912+259-9+531</f>
        <v>4040</v>
      </c>
      <c r="I166" s="35">
        <f>296.756+33.437+16</f>
        <v>346.19299999999998</v>
      </c>
      <c r="K166" s="35">
        <f>288+283-12+428+69</f>
        <v>1056</v>
      </c>
      <c r="M166" s="35">
        <f>279.4+6.7+68.6+98+0.7+6.7+9.9</f>
        <v>469.99999999999989</v>
      </c>
    </row>
    <row r="167" spans="1:15" x14ac:dyDescent="0.4">
      <c r="B167" t="s">
        <v>75</v>
      </c>
      <c r="E167" s="35">
        <f>1.346+0.197</f>
        <v>1.5430000000000001</v>
      </c>
      <c r="G167" s="35">
        <v>133</v>
      </c>
      <c r="I167" s="35">
        <f>-18.699-174.122</f>
        <v>-192.82100000000003</v>
      </c>
      <c r="K167" s="35">
        <f>-55+3+18+40</f>
        <v>6</v>
      </c>
      <c r="M167" s="35">
        <f>97.6-0.5+9.6-7.8-15.5-6.99999999999977</f>
        <v>76.400000000000219</v>
      </c>
    </row>
    <row r="168" spans="1:15" x14ac:dyDescent="0.4">
      <c r="B168" t="s">
        <v>76</v>
      </c>
      <c r="E168" s="35">
        <v>-23.933</v>
      </c>
      <c r="G168" s="35">
        <v>-807</v>
      </c>
      <c r="I168" s="35">
        <v>-41.283000000000001</v>
      </c>
      <c r="K168" s="35">
        <v>-255</v>
      </c>
      <c r="M168" s="35">
        <v>-120.2</v>
      </c>
    </row>
    <row r="170" spans="1:15" s="5" customFormat="1" x14ac:dyDescent="0.4">
      <c r="B170" s="5" t="s">
        <v>78</v>
      </c>
      <c r="E170" s="25">
        <f>+E171+E162</f>
        <v>218.89399999999986</v>
      </c>
      <c r="G170" s="25">
        <f>+G171+G162</f>
        <v>19885</v>
      </c>
      <c r="I170" s="25">
        <f>+I171+I162</f>
        <v>2640.6350000000002</v>
      </c>
      <c r="K170" s="25">
        <f>+K171+K162</f>
        <v>5473</v>
      </c>
      <c r="M170" s="25">
        <f>+M171+M162</f>
        <v>1066.1999999999998</v>
      </c>
    </row>
    <row r="171" spans="1:15" s="5" customFormat="1" x14ac:dyDescent="0.4">
      <c r="B171" s="5" t="s">
        <v>77</v>
      </c>
      <c r="E171" s="25">
        <f>+E156+E166</f>
        <v>198.93399999999986</v>
      </c>
      <c r="G171" s="25">
        <f>+G156+G166</f>
        <v>19071</v>
      </c>
      <c r="I171" s="25">
        <f>+I156+I166</f>
        <v>2603.442</v>
      </c>
      <c r="K171" s="25">
        <f>+K156+K166</f>
        <v>3145</v>
      </c>
      <c r="M171" s="25">
        <f>+M156+M166</f>
        <v>940.0999999999998</v>
      </c>
    </row>
    <row r="172" spans="1:15" s="5" customFormat="1" x14ac:dyDescent="0.4">
      <c r="B172" s="5" t="s">
        <v>79</v>
      </c>
      <c r="E172" s="25">
        <f>+E160+E166+E167+E168</f>
        <v>146.30499999999986</v>
      </c>
      <c r="G172" s="25">
        <f>+G160+G166+G167+G168</f>
        <v>15979</v>
      </c>
      <c r="I172" s="25">
        <f>+I160+I166+I167+I168</f>
        <v>2199.4100000000003</v>
      </c>
      <c r="K172" s="25">
        <f>+K160+K166+K167+K168</f>
        <v>2832</v>
      </c>
      <c r="M172" s="25">
        <f>+M160+M166+M167+M168</f>
        <v>736.4</v>
      </c>
      <c r="O172" s="25"/>
    </row>
    <row r="173" spans="1:15" s="5" customFormat="1" ht="13.2" customHeight="1" x14ac:dyDescent="0.4">
      <c r="B173" s="5" t="s">
        <v>98</v>
      </c>
      <c r="E173" s="26">
        <f>+IFERROR(E172/E161,0)</f>
        <v>1.0946958076753277</v>
      </c>
      <c r="G173" s="26">
        <f>+IFERROR(G172/G161,0)</f>
        <v>3.8925700365408038</v>
      </c>
      <c r="I173" s="26">
        <f>+IFERROR(I172/I161,0)</f>
        <v>6.9352483957935904</v>
      </c>
      <c r="K173" s="26">
        <f>+IFERROR(K172/K161,0)</f>
        <v>2.1519756838905777</v>
      </c>
      <c r="M173" s="26">
        <f>+IFERROR(M172/M161,0)</f>
        <v>2.2595888309297329</v>
      </c>
    </row>
    <row r="175" spans="1:15" s="5" customFormat="1" ht="13.2" customHeight="1" x14ac:dyDescent="0.4">
      <c r="A175" s="14" t="s">
        <v>84</v>
      </c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</row>
    <row r="176" spans="1:15" s="4" customFormat="1" x14ac:dyDescent="0.4">
      <c r="B176" s="4" t="s">
        <v>8</v>
      </c>
      <c r="E176" s="43" t="s">
        <v>115</v>
      </c>
      <c r="G176" s="43" t="s">
        <v>115</v>
      </c>
      <c r="I176" s="43" t="s">
        <v>136</v>
      </c>
      <c r="K176" s="43" t="s">
        <v>136</v>
      </c>
      <c r="M176" s="43" t="s">
        <v>136</v>
      </c>
    </row>
    <row r="177" spans="2:13" s="4" customFormat="1" x14ac:dyDescent="0.4">
      <c r="B177" s="4" t="s">
        <v>10</v>
      </c>
      <c r="E177" s="49">
        <f>+E13</f>
        <v>45291</v>
      </c>
      <c r="G177" s="49">
        <f>+G13</f>
        <v>45318</v>
      </c>
      <c r="I177" s="49">
        <f>+I13</f>
        <v>45291</v>
      </c>
      <c r="K177" s="49">
        <f>+K13</f>
        <v>45230</v>
      </c>
      <c r="M177" s="49">
        <f>+M13</f>
        <v>45291</v>
      </c>
    </row>
    <row r="178" spans="2:13" s="4" customFormat="1" x14ac:dyDescent="0.4"/>
    <row r="179" spans="2:13" x14ac:dyDescent="0.4">
      <c r="B179" t="s">
        <v>66</v>
      </c>
      <c r="E179" s="35">
        <v>649.51400000000001</v>
      </c>
      <c r="G179" s="35">
        <v>27459</v>
      </c>
      <c r="I179" s="35"/>
      <c r="K179" s="35"/>
      <c r="M179" s="35"/>
    </row>
    <row r="180" spans="2:13" x14ac:dyDescent="0.4">
      <c r="B180" t="s">
        <v>80</v>
      </c>
      <c r="E180" s="35">
        <v>-253.208</v>
      </c>
      <c r="G180" s="35">
        <v>-9685</v>
      </c>
      <c r="I180" s="35"/>
      <c r="K180" s="35"/>
      <c r="M180" s="35"/>
    </row>
    <row r="181" spans="2:13" x14ac:dyDescent="0.4">
      <c r="B181" t="s">
        <v>67</v>
      </c>
      <c r="E181" s="45">
        <f>+E179+E180</f>
        <v>396.30600000000004</v>
      </c>
      <c r="G181" s="45">
        <f>+G179+G180</f>
        <v>17774</v>
      </c>
      <c r="I181" s="45">
        <f>+I179+I180</f>
        <v>0</v>
      </c>
      <c r="K181" s="45">
        <f>+K179+K180</f>
        <v>0</v>
      </c>
      <c r="M181" s="45">
        <f>+M179+M180</f>
        <v>0</v>
      </c>
    </row>
    <row r="182" spans="2:13" x14ac:dyDescent="0.4">
      <c r="B182" t="s">
        <v>81</v>
      </c>
      <c r="E182" s="35">
        <v>-350.09100000000001</v>
      </c>
      <c r="G182" s="35">
        <v>-10402</v>
      </c>
      <c r="I182" s="35"/>
      <c r="K182" s="35"/>
      <c r="M182" s="35"/>
    </row>
    <row r="183" spans="2:13" s="5" customFormat="1" x14ac:dyDescent="0.4">
      <c r="B183" s="5" t="s">
        <v>68</v>
      </c>
      <c r="E183" s="46">
        <f>+E181+E182</f>
        <v>46.215000000000032</v>
      </c>
      <c r="G183" s="46">
        <f>+G181+G182</f>
        <v>7372</v>
      </c>
      <c r="I183" s="46">
        <f>+I181+I182</f>
        <v>0</v>
      </c>
      <c r="K183" s="46">
        <f>+K181+K182</f>
        <v>0</v>
      </c>
      <c r="M183" s="46">
        <f>+M181+M182</f>
        <v>0</v>
      </c>
    </row>
    <row r="184" spans="2:13" x14ac:dyDescent="0.4">
      <c r="B184" t="s">
        <v>82</v>
      </c>
      <c r="E184" s="47">
        <f>2.656-8.587+0.012</f>
        <v>-5.9189999999999996</v>
      </c>
      <c r="G184" s="47">
        <f>684-231-222</f>
        <v>231</v>
      </c>
      <c r="I184" s="47"/>
      <c r="K184" s="47"/>
      <c r="M184" s="47"/>
    </row>
    <row r="185" spans="2:13" x14ac:dyDescent="0.4">
      <c r="B185" t="s">
        <v>69</v>
      </c>
      <c r="E185" s="48">
        <f>+E183+E184</f>
        <v>40.296000000000035</v>
      </c>
      <c r="G185" s="48">
        <f>+G183+G184</f>
        <v>7603</v>
      </c>
      <c r="I185" s="48">
        <f>+I183+I184</f>
        <v>0</v>
      </c>
      <c r="K185" s="48">
        <f>+K183+K184</f>
        <v>0</v>
      </c>
      <c r="M185" s="48">
        <f>+M183+M184</f>
        <v>0</v>
      </c>
    </row>
    <row r="186" spans="2:13" x14ac:dyDescent="0.4">
      <c r="B186" t="s">
        <v>70</v>
      </c>
      <c r="E186" s="35">
        <v>-7.6319999999999997</v>
      </c>
      <c r="G186" s="35">
        <v>-1331</v>
      </c>
      <c r="I186" s="35"/>
      <c r="K186" s="35"/>
      <c r="M186" s="35"/>
    </row>
    <row r="187" spans="2:13" s="5" customFormat="1" x14ac:dyDescent="0.4">
      <c r="B187" s="5" t="s">
        <v>71</v>
      </c>
      <c r="E187" s="46">
        <f>+E185+E186</f>
        <v>32.664000000000037</v>
      </c>
      <c r="G187" s="46">
        <f>+G185+G186</f>
        <v>6272</v>
      </c>
      <c r="I187" s="46">
        <f>+I185+I186</f>
        <v>0</v>
      </c>
      <c r="K187" s="46">
        <f>+K185+K186</f>
        <v>0</v>
      </c>
      <c r="M187" s="46">
        <f>+M185+M186</f>
        <v>0</v>
      </c>
    </row>
    <row r="188" spans="2:13" x14ac:dyDescent="0.4">
      <c r="B188" t="s">
        <v>72</v>
      </c>
      <c r="E188" s="38">
        <v>132.786</v>
      </c>
      <c r="G188" s="38">
        <v>4079</v>
      </c>
      <c r="I188" s="38"/>
      <c r="K188" s="38"/>
      <c r="M188" s="38"/>
    </row>
    <row r="189" spans="2:13" x14ac:dyDescent="0.4">
      <c r="B189" t="s">
        <v>73</v>
      </c>
      <c r="E189" s="35">
        <f>9.485+3.064-3.029</f>
        <v>9.52</v>
      </c>
      <c r="G189" s="35">
        <f>823-489</f>
        <v>334</v>
      </c>
      <c r="I189" s="35"/>
      <c r="K189" s="35"/>
      <c r="M189" s="35"/>
    </row>
    <row r="191" spans="2:13" x14ac:dyDescent="0.4">
      <c r="B191" t="s">
        <v>74</v>
      </c>
      <c r="E191" s="35">
        <f>2.562+8.812+14.523+14.979+11.891+2.813+1.599+3.029</f>
        <v>60.207999999999998</v>
      </c>
      <c r="G191" s="35">
        <f>1454+489+140+135-2</f>
        <v>2216</v>
      </c>
      <c r="I191" s="35"/>
      <c r="K191" s="35"/>
      <c r="M191" s="35"/>
    </row>
    <row r="192" spans="2:13" x14ac:dyDescent="0.4">
      <c r="B192" t="s">
        <v>75</v>
      </c>
      <c r="E192" s="35">
        <v>0</v>
      </c>
      <c r="G192" s="35">
        <v>139</v>
      </c>
      <c r="I192" s="35"/>
      <c r="K192" s="35"/>
      <c r="M192" s="35"/>
    </row>
    <row r="193" spans="1:14" x14ac:dyDescent="0.4">
      <c r="B193" t="s">
        <v>76</v>
      </c>
      <c r="E193" s="35">
        <v>-14.856999999999999</v>
      </c>
      <c r="G193" s="35">
        <v>-561</v>
      </c>
      <c r="I193" s="35"/>
      <c r="K193" s="35"/>
      <c r="M193" s="35"/>
    </row>
    <row r="194" spans="1:14" s="4" customFormat="1" x14ac:dyDescent="0.4">
      <c r="B194" s="4" t="s">
        <v>83</v>
      </c>
      <c r="E194" s="19">
        <f>-(IFERROR(E186/E185,0))</f>
        <v>0.18939845145920173</v>
      </c>
      <c r="G194" s="19">
        <f>-(IFERROR(G186/G185,0))</f>
        <v>0.17506247533868211</v>
      </c>
      <c r="I194" s="19">
        <f>-(IFERROR(I186/I185,0))</f>
        <v>0</v>
      </c>
      <c r="K194" s="19">
        <f>-(IFERROR(K186/K185,0))</f>
        <v>0</v>
      </c>
      <c r="M194" s="19">
        <f>-(IFERROR(M186/M185,0))</f>
        <v>0</v>
      </c>
    </row>
    <row r="196" spans="1:14" s="5" customFormat="1" x14ac:dyDescent="0.4">
      <c r="B196" s="5" t="s">
        <v>78</v>
      </c>
      <c r="E196" s="25">
        <f>+E197+E189</f>
        <v>115.94300000000003</v>
      </c>
      <c r="G196" s="25">
        <f>+G197+G189</f>
        <v>9922</v>
      </c>
      <c r="I196" s="25">
        <f>+I197+I189</f>
        <v>0</v>
      </c>
      <c r="K196" s="25">
        <f>+K197+K189</f>
        <v>0</v>
      </c>
      <c r="M196" s="25">
        <f>+M197+M189</f>
        <v>0</v>
      </c>
    </row>
    <row r="197" spans="1:14" s="5" customFormat="1" x14ac:dyDescent="0.4">
      <c r="B197" s="5" t="s">
        <v>77</v>
      </c>
      <c r="E197" s="25">
        <f>+E183+E191</f>
        <v>106.42300000000003</v>
      </c>
      <c r="G197" s="25">
        <f>+G183+G191</f>
        <v>9588</v>
      </c>
      <c r="I197" s="25">
        <f>+I183+I191</f>
        <v>0</v>
      </c>
      <c r="K197" s="25">
        <f>+K183+K191</f>
        <v>0</v>
      </c>
      <c r="M197" s="25">
        <f>+M183+M191</f>
        <v>0</v>
      </c>
    </row>
    <row r="198" spans="1:14" s="5" customFormat="1" x14ac:dyDescent="0.4">
      <c r="B198" s="5" t="s">
        <v>79</v>
      </c>
      <c r="E198" s="25">
        <f>+E187+E191+E192+E193</f>
        <v>78.015000000000043</v>
      </c>
      <c r="G198" s="25">
        <f>+G187+G191+G192+G193</f>
        <v>8066</v>
      </c>
      <c r="I198" s="25">
        <f>+I187+I191+I192+I193</f>
        <v>0</v>
      </c>
      <c r="K198" s="25">
        <f>+K187+K191+K192+K193</f>
        <v>0</v>
      </c>
      <c r="M198" s="25">
        <f>+M187+M191+M192+M193</f>
        <v>0</v>
      </c>
    </row>
    <row r="199" spans="1:14" s="5" customFormat="1" ht="13.2" customHeight="1" x14ac:dyDescent="0.4">
      <c r="B199" s="5" t="s">
        <v>98</v>
      </c>
      <c r="E199" s="26">
        <f>+IFERROR(E198/E188,0)</f>
        <v>0.587524287198952</v>
      </c>
      <c r="G199" s="26">
        <f>+IFERROR(G198/G188,0)</f>
        <v>1.9774454523167444</v>
      </c>
      <c r="I199" s="26">
        <f>+IFERROR(I198/I188,0)</f>
        <v>0</v>
      </c>
      <c r="K199" s="26">
        <f>+IFERROR(K198/K188,0)</f>
        <v>0</v>
      </c>
      <c r="M199" s="26">
        <f>+IFERROR(M198/M188,0)</f>
        <v>0</v>
      </c>
    </row>
    <row r="201" spans="1:14" s="5" customFormat="1" ht="13.2" customHeight="1" x14ac:dyDescent="0.4">
      <c r="A201" s="14" t="s">
        <v>97</v>
      </c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</row>
    <row r="202" spans="1:14" s="4" customFormat="1" x14ac:dyDescent="0.4">
      <c r="B202" s="4" t="s">
        <v>8</v>
      </c>
      <c r="E202" s="43" t="s">
        <v>115</v>
      </c>
      <c r="G202" s="43" t="s">
        <v>115</v>
      </c>
      <c r="I202" s="43" t="s">
        <v>136</v>
      </c>
      <c r="K202" s="43" t="s">
        <v>136</v>
      </c>
      <c r="M202" s="43" t="s">
        <v>136</v>
      </c>
    </row>
    <row r="203" spans="1:14" s="4" customFormat="1" x14ac:dyDescent="0.4">
      <c r="B203" s="4" t="s">
        <v>10</v>
      </c>
      <c r="E203" s="49">
        <f>+EOMONTH(E177,-12)</f>
        <v>44926</v>
      </c>
      <c r="G203" s="49">
        <f>+EOMONTH(G177,-12)</f>
        <v>44957</v>
      </c>
      <c r="I203" s="49">
        <f>+EOMONTH(I177,-12)</f>
        <v>44926</v>
      </c>
      <c r="K203" s="49">
        <f>+EOMONTH(K177,-12)</f>
        <v>44865</v>
      </c>
      <c r="M203" s="49">
        <f>+EOMONTH(M177,-12)</f>
        <v>44926</v>
      </c>
    </row>
    <row r="204" spans="1:14" s="4" customFormat="1" x14ac:dyDescent="0.4"/>
    <row r="205" spans="1:14" x14ac:dyDescent="0.4">
      <c r="B205" t="s">
        <v>66</v>
      </c>
      <c r="E205" s="35">
        <v>616.03700000000003</v>
      </c>
      <c r="G205" s="35">
        <v>27224</v>
      </c>
      <c r="I205" s="35"/>
      <c r="K205" s="35"/>
      <c r="M205" s="35"/>
    </row>
    <row r="206" spans="1:14" x14ac:dyDescent="0.4">
      <c r="B206" t="s">
        <v>80</v>
      </c>
      <c r="E206" s="35">
        <v>-267.67399999999998</v>
      </c>
      <c r="G206" s="35">
        <v>-10451</v>
      </c>
      <c r="I206" s="35"/>
      <c r="K206" s="35"/>
      <c r="M206" s="35"/>
    </row>
    <row r="207" spans="1:14" x14ac:dyDescent="0.4">
      <c r="B207" t="s">
        <v>67</v>
      </c>
      <c r="E207" s="45">
        <f>+E205+E206</f>
        <v>348.36300000000006</v>
      </c>
      <c r="G207" s="45">
        <f>+G205+G206</f>
        <v>16773</v>
      </c>
      <c r="I207" s="45">
        <f>+I205+I206</f>
        <v>0</v>
      </c>
      <c r="K207" s="45">
        <f>+K205+K206</f>
        <v>0</v>
      </c>
      <c r="M207" s="45">
        <f>+M205+M206</f>
        <v>0</v>
      </c>
    </row>
    <row r="208" spans="1:14" x14ac:dyDescent="0.4">
      <c r="B208" t="s">
        <v>81</v>
      </c>
      <c r="E208" s="35">
        <v>-307.53300000000002</v>
      </c>
      <c r="G208" s="35">
        <v>-9941</v>
      </c>
      <c r="I208" s="35"/>
      <c r="K208" s="35"/>
      <c r="M208" s="35"/>
    </row>
    <row r="209" spans="2:13" s="5" customFormat="1" x14ac:dyDescent="0.4">
      <c r="B209" s="5" t="s">
        <v>68</v>
      </c>
      <c r="E209" s="46">
        <f>+E207+E208</f>
        <v>40.830000000000041</v>
      </c>
      <c r="G209" s="46">
        <f>+G207+G208</f>
        <v>6832</v>
      </c>
      <c r="I209" s="46">
        <f>+I207+I208</f>
        <v>0</v>
      </c>
      <c r="K209" s="46">
        <f>+K207+K208</f>
        <v>0</v>
      </c>
      <c r="M209" s="46">
        <f>+M207+M208</f>
        <v>0</v>
      </c>
    </row>
    <row r="210" spans="2:13" x14ac:dyDescent="0.4">
      <c r="B210" t="s">
        <v>82</v>
      </c>
      <c r="E210" s="47">
        <f>1.281-7.71+0.509</f>
        <v>-5.92</v>
      </c>
      <c r="G210" s="47">
        <f>388-207-123</f>
        <v>58</v>
      </c>
      <c r="I210" s="47"/>
      <c r="K210" s="47"/>
      <c r="M210" s="47"/>
    </row>
    <row r="211" spans="2:13" x14ac:dyDescent="0.4">
      <c r="B211" t="s">
        <v>69</v>
      </c>
      <c r="E211" s="48">
        <f>+E209+E210</f>
        <v>34.910000000000039</v>
      </c>
      <c r="G211" s="48">
        <f>+G209+G210</f>
        <v>6890</v>
      </c>
      <c r="I211" s="48">
        <f>+I209+I210</f>
        <v>0</v>
      </c>
      <c r="K211" s="48">
        <f>+K209+K210</f>
        <v>0</v>
      </c>
      <c r="M211" s="48">
        <f>+M209+M210</f>
        <v>0</v>
      </c>
    </row>
    <row r="212" spans="2:13" x14ac:dyDescent="0.4">
      <c r="B212" t="s">
        <v>70</v>
      </c>
      <c r="E212" s="35">
        <v>-4.3940000000000001</v>
      </c>
      <c r="G212" s="35">
        <v>-1447</v>
      </c>
      <c r="I212" s="35"/>
      <c r="K212" s="35"/>
      <c r="M212" s="35"/>
    </row>
    <row r="213" spans="2:13" s="5" customFormat="1" x14ac:dyDescent="0.4">
      <c r="B213" s="5" t="s">
        <v>71</v>
      </c>
      <c r="E213" s="46">
        <f>+E211+E212</f>
        <v>30.516000000000041</v>
      </c>
      <c r="G213" s="46">
        <f>+G211+G212</f>
        <v>5443</v>
      </c>
      <c r="I213" s="46">
        <f>+I211+I212</f>
        <v>0</v>
      </c>
      <c r="K213" s="46">
        <f>+K211+K212</f>
        <v>0</v>
      </c>
      <c r="M213" s="46">
        <f>+M211+M212</f>
        <v>0</v>
      </c>
    </row>
    <row r="214" spans="2:13" x14ac:dyDescent="0.4">
      <c r="B214" t="s">
        <v>72</v>
      </c>
      <c r="E214" s="38">
        <v>133.833</v>
      </c>
      <c r="G214" s="38">
        <v>4115</v>
      </c>
      <c r="I214" s="38"/>
      <c r="K214" s="38"/>
      <c r="M214" s="38"/>
    </row>
    <row r="215" spans="2:13" x14ac:dyDescent="0.4">
      <c r="B215" t="s">
        <v>73</v>
      </c>
      <c r="E215" s="35">
        <f>9.983+7.852-7.817</f>
        <v>10.018000000000001</v>
      </c>
      <c r="G215" s="35">
        <f>853-448</f>
        <v>405</v>
      </c>
      <c r="I215" s="35"/>
      <c r="K215" s="35"/>
      <c r="M215" s="35"/>
    </row>
    <row r="217" spans="2:13" x14ac:dyDescent="0.4">
      <c r="B217" t="s">
        <v>74</v>
      </c>
      <c r="E217" s="35">
        <f>2.511+7.052+10.549+11.073+0.39+0.957+2.324+7.817</f>
        <v>42.672999999999995</v>
      </c>
      <c r="G217" s="35">
        <f>1100+448+126+241+5</f>
        <v>1920</v>
      </c>
      <c r="I217" s="35"/>
      <c r="K217" s="35"/>
      <c r="M217" s="35"/>
    </row>
    <row r="218" spans="2:13" x14ac:dyDescent="0.4">
      <c r="B218" t="s">
        <v>75</v>
      </c>
      <c r="E218" s="35">
        <v>0</v>
      </c>
      <c r="G218" s="35">
        <v>65</v>
      </c>
      <c r="I218" s="35"/>
      <c r="K218" s="35"/>
      <c r="M218" s="35"/>
    </row>
    <row r="219" spans="2:13" x14ac:dyDescent="0.4">
      <c r="B219" t="s">
        <v>76</v>
      </c>
      <c r="E219" s="35">
        <v>-9.6219999999999999</v>
      </c>
      <c r="G219" s="35">
        <v>-240</v>
      </c>
      <c r="I219" s="35"/>
      <c r="K219" s="35"/>
      <c r="M219" s="35"/>
    </row>
    <row r="220" spans="2:13" s="4" customFormat="1" x14ac:dyDescent="0.4">
      <c r="B220" s="4" t="s">
        <v>83</v>
      </c>
      <c r="E220" s="19">
        <f>-(IFERROR(E212/E211,0))</f>
        <v>0.12586651389286724</v>
      </c>
      <c r="G220" s="19">
        <f>-(IFERROR(G212/G211,0))</f>
        <v>0.21001451378809868</v>
      </c>
      <c r="I220" s="19">
        <f>-(IFERROR(I212/I211,0))</f>
        <v>0</v>
      </c>
      <c r="K220" s="19">
        <f>-(IFERROR(K212/K211,0))</f>
        <v>0</v>
      </c>
      <c r="M220" s="19">
        <f>-(IFERROR(M212/M211,0))</f>
        <v>0</v>
      </c>
    </row>
    <row r="221" spans="2:13" x14ac:dyDescent="0.4">
      <c r="G221" s="54"/>
    </row>
    <row r="222" spans="2:13" s="5" customFormat="1" x14ac:dyDescent="0.4">
      <c r="B222" s="5" t="s">
        <v>78</v>
      </c>
      <c r="E222" s="25">
        <f>+E223+E215</f>
        <v>93.521000000000043</v>
      </c>
      <c r="G222" s="25">
        <f>+G223+G215</f>
        <v>9157</v>
      </c>
      <c r="I222" s="25">
        <f>+I223+I215</f>
        <v>0</v>
      </c>
      <c r="K222" s="25">
        <f>+K223+K215</f>
        <v>0</v>
      </c>
      <c r="M222" s="25">
        <f>+M223+M215</f>
        <v>0</v>
      </c>
    </row>
    <row r="223" spans="2:13" s="5" customFormat="1" x14ac:dyDescent="0.4">
      <c r="B223" s="5" t="s">
        <v>77</v>
      </c>
      <c r="E223" s="25">
        <f>+E209+E217</f>
        <v>83.503000000000043</v>
      </c>
      <c r="G223" s="25">
        <f>+G209+G217</f>
        <v>8752</v>
      </c>
      <c r="I223" s="25">
        <f>+I209+I217</f>
        <v>0</v>
      </c>
      <c r="K223" s="25">
        <f>+K209+K217</f>
        <v>0</v>
      </c>
      <c r="M223" s="25">
        <f>+M209+M217</f>
        <v>0</v>
      </c>
    </row>
    <row r="224" spans="2:13" s="5" customFormat="1" x14ac:dyDescent="0.4">
      <c r="B224" s="5" t="s">
        <v>79</v>
      </c>
      <c r="E224" s="25">
        <f>+E213+E217+E218+E219</f>
        <v>63.567000000000036</v>
      </c>
      <c r="G224" s="25">
        <f>+G213+G217+G218+G219</f>
        <v>7188</v>
      </c>
      <c r="I224" s="25">
        <f>+I213+I217+I218+I219</f>
        <v>0</v>
      </c>
      <c r="K224" s="25">
        <f>+K213+K217+K218+K219</f>
        <v>0</v>
      </c>
      <c r="M224" s="25">
        <f>+M213+M217+M218+M219</f>
        <v>0</v>
      </c>
    </row>
    <row r="225" spans="1:14" s="5" customFormat="1" x14ac:dyDescent="0.4">
      <c r="B225" s="5" t="s">
        <v>98</v>
      </c>
      <c r="E225" s="26">
        <f>+IFERROR(E224/E214,0)</f>
        <v>0.47497254040483317</v>
      </c>
      <c r="G225" s="26">
        <f>+IFERROR(G224/G214,0)</f>
        <v>1.7467800729040097</v>
      </c>
      <c r="I225" s="26">
        <f>+IFERROR(I224/I214,0)</f>
        <v>0</v>
      </c>
      <c r="K225" s="26">
        <f>+IFERROR(K224/K214,0)</f>
        <v>0</v>
      </c>
      <c r="M225" s="26">
        <f>+IFERROR(M224/M214,0)</f>
        <v>0</v>
      </c>
    </row>
    <row r="226" spans="1:14" s="5" customFormat="1" x14ac:dyDescent="0.4">
      <c r="E226" s="10"/>
      <c r="G226" s="10"/>
      <c r="I226" s="10"/>
      <c r="K226" s="10"/>
      <c r="M226" s="10"/>
    </row>
    <row r="227" spans="1:14" s="5" customFormat="1" ht="13.2" customHeight="1" x14ac:dyDescent="0.4">
      <c r="A227" s="14" t="s">
        <v>92</v>
      </c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</row>
    <row r="228" spans="1:14" s="5" customFormat="1" x14ac:dyDescent="0.4">
      <c r="E228" s="10"/>
      <c r="G228" s="10"/>
      <c r="I228" s="10"/>
      <c r="K228" s="10"/>
      <c r="M228" s="10"/>
    </row>
    <row r="229" spans="1:14" s="5" customFormat="1" x14ac:dyDescent="0.4">
      <c r="B229" s="5" t="s">
        <v>93</v>
      </c>
      <c r="C229" s="56" t="s">
        <v>154</v>
      </c>
      <c r="E229" s="25">
        <f>+E152+E179-E205</f>
        <v>1345.9309999999998</v>
      </c>
      <c r="G229" s="25">
        <f>+G152+G179-G205</f>
        <v>57233</v>
      </c>
      <c r="I229" s="25">
        <f>+I152+I179-I205</f>
        <v>5860.1680000000006</v>
      </c>
      <c r="K229" s="25">
        <f>+K152+K179-K205</f>
        <v>29135</v>
      </c>
      <c r="M229" s="25">
        <f>+M152+M179-M205</f>
        <v>5564.5</v>
      </c>
    </row>
    <row r="230" spans="1:14" s="5" customFormat="1" x14ac:dyDescent="0.4">
      <c r="B230" s="5" t="s">
        <v>94</v>
      </c>
      <c r="C230" s="56" t="s">
        <v>155</v>
      </c>
      <c r="E230" s="25">
        <f>+E170+E196-E222</f>
        <v>241.31599999999983</v>
      </c>
      <c r="G230" s="25">
        <f>+G170+G196-G222</f>
        <v>20650</v>
      </c>
      <c r="I230" s="25">
        <f>+I170+I196-I222</f>
        <v>2640.6350000000002</v>
      </c>
      <c r="K230" s="25">
        <f>+K170+K196-K222</f>
        <v>5473</v>
      </c>
      <c r="M230" s="25">
        <f>+M170+M196-M222</f>
        <v>1066.1999999999998</v>
      </c>
    </row>
    <row r="231" spans="1:14" s="5" customFormat="1" x14ac:dyDescent="0.4">
      <c r="B231" s="5" t="s">
        <v>95</v>
      </c>
      <c r="C231" s="56" t="s">
        <v>156</v>
      </c>
      <c r="E231" s="25">
        <f>+E171+E197-E223</f>
        <v>221.85399999999981</v>
      </c>
      <c r="G231" s="25">
        <f>+G171+G197-G223</f>
        <v>19907</v>
      </c>
      <c r="I231" s="25">
        <f>+I171+I197-I223</f>
        <v>2603.442</v>
      </c>
      <c r="K231" s="25">
        <f>+K171+K197-K223</f>
        <v>3145</v>
      </c>
      <c r="M231" s="25">
        <f>+M171+M197-M223</f>
        <v>940.0999999999998</v>
      </c>
    </row>
    <row r="232" spans="1:14" s="5" customFormat="1" x14ac:dyDescent="0.4">
      <c r="B232" s="5" t="s">
        <v>96</v>
      </c>
      <c r="C232" s="56" t="s">
        <v>158</v>
      </c>
      <c r="E232" s="25">
        <f>+E172+E198-E224</f>
        <v>160.75299999999987</v>
      </c>
      <c r="G232" s="25">
        <f>+G172+G198-G224</f>
        <v>16857</v>
      </c>
      <c r="I232" s="25">
        <f>+I172+I198-I224</f>
        <v>2199.4100000000003</v>
      </c>
      <c r="K232" s="25">
        <f>+K172+K198-K224</f>
        <v>2832</v>
      </c>
      <c r="M232" s="25">
        <f>+M172+M198-M224</f>
        <v>736.4</v>
      </c>
    </row>
    <row r="233" spans="1:14" s="5" customFormat="1" x14ac:dyDescent="0.4">
      <c r="B233" s="5" t="s">
        <v>99</v>
      </c>
      <c r="C233" s="56" t="s">
        <v>157</v>
      </c>
      <c r="E233" s="26">
        <f>+E173+E199-E225</f>
        <v>1.2072475544694465</v>
      </c>
      <c r="G233" s="26">
        <f>+G173+G199-G225</f>
        <v>4.1232354159535394</v>
      </c>
      <c r="I233" s="26">
        <f>+I173+I199-I225</f>
        <v>6.9352483957935904</v>
      </c>
      <c r="K233" s="26">
        <f>+K173+K199-K225</f>
        <v>2.1519756838905777</v>
      </c>
      <c r="M233" s="26">
        <f>+M173+M199-M225</f>
        <v>2.2595888309297329</v>
      </c>
    </row>
    <row r="235" spans="1:14" x14ac:dyDescent="0.4">
      <c r="A235" s="15" t="s">
        <v>85</v>
      </c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</row>
    <row r="237" spans="1:14" x14ac:dyDescent="0.4">
      <c r="A237" s="17" t="s">
        <v>86</v>
      </c>
      <c r="B237" s="18"/>
      <c r="C237" s="22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</row>
    <row r="238" spans="1:14" x14ac:dyDescent="0.4">
      <c r="B238" s="5" t="s">
        <v>66</v>
      </c>
    </row>
    <row r="239" spans="1:14" ht="13.2" customHeight="1" x14ac:dyDescent="0.4">
      <c r="B239" s="23" t="s">
        <v>88</v>
      </c>
      <c r="C239" s="56" t="s">
        <v>159</v>
      </c>
      <c r="E239" s="8">
        <f>+E152</f>
        <v>1312.454</v>
      </c>
      <c r="G239" s="8">
        <f>+G152</f>
        <v>56998</v>
      </c>
      <c r="I239" s="8">
        <f>+I152</f>
        <v>5860.1680000000006</v>
      </c>
      <c r="K239" s="8">
        <f>+K152</f>
        <v>29135</v>
      </c>
      <c r="M239" s="8">
        <f>+M152</f>
        <v>5564.5</v>
      </c>
    </row>
    <row r="240" spans="1:14" ht="13.2" customHeight="1" x14ac:dyDescent="0.4">
      <c r="B240" s="23" t="s">
        <v>89</v>
      </c>
      <c r="C240" s="56" t="s">
        <v>160</v>
      </c>
      <c r="E240" s="32">
        <v>1134</v>
      </c>
      <c r="G240" s="32">
        <v>52182</v>
      </c>
      <c r="I240" s="32">
        <v>6598</v>
      </c>
      <c r="K240" s="32">
        <v>29454</v>
      </c>
      <c r="M240" s="32">
        <v>5413</v>
      </c>
    </row>
    <row r="241" spans="2:13" ht="13.2" customHeight="1" x14ac:dyDescent="0.4">
      <c r="B241" s="23" t="s">
        <v>90</v>
      </c>
      <c r="C241" s="56" t="s">
        <v>161</v>
      </c>
      <c r="E241" s="32">
        <v>1144</v>
      </c>
      <c r="G241" s="32">
        <v>52411</v>
      </c>
      <c r="I241" s="32">
        <v>7587</v>
      </c>
      <c r="K241" s="32">
        <v>30480</v>
      </c>
      <c r="M241" s="32">
        <v>5640</v>
      </c>
    </row>
    <row r="242" spans="2:13" ht="13.2" customHeight="1" x14ac:dyDescent="0.4">
      <c r="B242" s="23" t="s">
        <v>91</v>
      </c>
      <c r="C242" s="56" t="s">
        <v>162</v>
      </c>
      <c r="E242" s="32">
        <v>1240</v>
      </c>
      <c r="G242" s="32">
        <v>53959</v>
      </c>
      <c r="I242" s="32">
        <v>8675</v>
      </c>
      <c r="K242" s="32">
        <v>31490</v>
      </c>
      <c r="M242" s="32">
        <v>5763</v>
      </c>
    </row>
    <row r="243" spans="2:13" ht="13.2" customHeight="1" x14ac:dyDescent="0.4">
      <c r="B243" s="23" t="s">
        <v>108</v>
      </c>
      <c r="C243" s="56" t="s">
        <v>163</v>
      </c>
      <c r="E243" s="32"/>
      <c r="G243" s="32"/>
      <c r="I243" s="32">
        <v>10505</v>
      </c>
      <c r="K243" s="32"/>
      <c r="M243" s="32"/>
    </row>
    <row r="244" spans="2:13" x14ac:dyDescent="0.4">
      <c r="B244" s="21"/>
    </row>
    <row r="245" spans="2:13" x14ac:dyDescent="0.4">
      <c r="B245" s="5" t="s">
        <v>78</v>
      </c>
    </row>
    <row r="246" spans="2:13" x14ac:dyDescent="0.4">
      <c r="B246" s="23" t="s">
        <v>88</v>
      </c>
      <c r="C246" s="56" t="s">
        <v>164</v>
      </c>
      <c r="E246" s="8">
        <f>+E170</f>
        <v>218.89399999999986</v>
      </c>
      <c r="G246" s="8">
        <f>+G170</f>
        <v>19885</v>
      </c>
      <c r="I246" s="8">
        <f>+I170</f>
        <v>2640.6350000000002</v>
      </c>
      <c r="K246" s="8">
        <f>+K170</f>
        <v>5473</v>
      </c>
      <c r="M246" s="8">
        <f>+M170</f>
        <v>1066.1999999999998</v>
      </c>
    </row>
    <row r="247" spans="2:13" x14ac:dyDescent="0.4">
      <c r="B247" s="23" t="s">
        <v>89</v>
      </c>
      <c r="C247" s="56" t="s">
        <v>165</v>
      </c>
      <c r="E247" s="32">
        <v>135</v>
      </c>
      <c r="G247" s="32">
        <v>19113</v>
      </c>
      <c r="I247" s="32">
        <v>2894</v>
      </c>
      <c r="K247" s="32">
        <v>5711</v>
      </c>
      <c r="M247" s="32">
        <v>1100</v>
      </c>
    </row>
    <row r="248" spans="2:13" x14ac:dyDescent="0.4">
      <c r="B248" s="23" t="s">
        <v>90</v>
      </c>
      <c r="C248" s="56" t="s">
        <v>166</v>
      </c>
      <c r="E248" s="32">
        <v>174</v>
      </c>
      <c r="G248" s="32">
        <v>19385</v>
      </c>
      <c r="I248" s="32">
        <v>3426</v>
      </c>
      <c r="K248" s="32">
        <v>6043</v>
      </c>
      <c r="M248" s="32">
        <v>1181</v>
      </c>
    </row>
    <row r="249" spans="2:13" x14ac:dyDescent="0.4">
      <c r="B249" s="23" t="s">
        <v>91</v>
      </c>
      <c r="C249" s="56" t="s">
        <v>167</v>
      </c>
      <c r="E249" s="32">
        <v>229</v>
      </c>
      <c r="G249" s="32">
        <v>19730</v>
      </c>
      <c r="I249" s="32">
        <v>3990</v>
      </c>
      <c r="K249" s="32">
        <v>6175</v>
      </c>
      <c r="M249" s="32">
        <v>1225</v>
      </c>
    </row>
    <row r="250" spans="2:13" x14ac:dyDescent="0.4">
      <c r="B250" s="23" t="s">
        <v>108</v>
      </c>
      <c r="C250" s="56" t="s">
        <v>168</v>
      </c>
      <c r="E250" s="32"/>
      <c r="G250" s="32"/>
      <c r="I250" s="32">
        <v>4874</v>
      </c>
      <c r="K250" s="32"/>
      <c r="M250" s="32"/>
    </row>
    <row r="251" spans="2:13" x14ac:dyDescent="0.4">
      <c r="B251" s="21"/>
    </row>
    <row r="252" spans="2:13" x14ac:dyDescent="0.4">
      <c r="B252" s="5" t="s">
        <v>77</v>
      </c>
    </row>
    <row r="253" spans="2:13" x14ac:dyDescent="0.4">
      <c r="B253" s="23" t="s">
        <v>88</v>
      </c>
      <c r="C253" s="56" t="s">
        <v>181</v>
      </c>
      <c r="E253" s="8">
        <f>+E171</f>
        <v>198.93399999999986</v>
      </c>
      <c r="G253" s="8">
        <f>+G171</f>
        <v>19071</v>
      </c>
      <c r="I253" s="8">
        <f>+I171</f>
        <v>2603.442</v>
      </c>
      <c r="K253" s="8">
        <f>+K171</f>
        <v>3145</v>
      </c>
      <c r="M253" s="8">
        <f>+M171</f>
        <v>940.0999999999998</v>
      </c>
    </row>
    <row r="254" spans="2:13" x14ac:dyDescent="0.4">
      <c r="B254" s="23" t="s">
        <v>89</v>
      </c>
      <c r="C254" s="56" t="s">
        <v>182</v>
      </c>
      <c r="E254" s="32">
        <v>119</v>
      </c>
      <c r="G254" s="32">
        <v>17982</v>
      </c>
      <c r="I254" s="32">
        <v>2846</v>
      </c>
      <c r="K254" s="32">
        <v>3203</v>
      </c>
      <c r="M254" s="32">
        <v>922</v>
      </c>
    </row>
    <row r="255" spans="2:13" x14ac:dyDescent="0.4">
      <c r="B255" s="23" t="s">
        <v>90</v>
      </c>
      <c r="C255" s="56" t="s">
        <v>183</v>
      </c>
      <c r="E255" s="32">
        <v>162</v>
      </c>
      <c r="G255" s="32">
        <v>18161</v>
      </c>
      <c r="I255" s="32">
        <v>3304</v>
      </c>
      <c r="K255" s="32">
        <v>3442</v>
      </c>
      <c r="M255" s="32">
        <v>1015</v>
      </c>
    </row>
    <row r="256" spans="2:13" x14ac:dyDescent="0.4">
      <c r="B256" s="23" t="s">
        <v>91</v>
      </c>
      <c r="C256" s="56" t="s">
        <v>184</v>
      </c>
      <c r="E256" s="32">
        <v>210</v>
      </c>
      <c r="G256" s="32">
        <v>18783</v>
      </c>
      <c r="I256" s="32">
        <v>3801</v>
      </c>
      <c r="K256" s="32">
        <v>3657</v>
      </c>
      <c r="M256" s="32">
        <v>1036</v>
      </c>
    </row>
    <row r="257" spans="2:13" x14ac:dyDescent="0.4">
      <c r="B257" s="23" t="s">
        <v>108</v>
      </c>
      <c r="C257" s="56" t="s">
        <v>185</v>
      </c>
      <c r="E257" s="32"/>
      <c r="G257" s="32"/>
      <c r="I257" s="32">
        <v>4829</v>
      </c>
      <c r="K257" s="32"/>
      <c r="M257" s="32"/>
    </row>
    <row r="258" spans="2:13" x14ac:dyDescent="0.4">
      <c r="B258" s="21"/>
    </row>
    <row r="259" spans="2:13" x14ac:dyDescent="0.4">
      <c r="B259" s="5" t="s">
        <v>79</v>
      </c>
    </row>
    <row r="260" spans="2:13" x14ac:dyDescent="0.4">
      <c r="B260" s="23" t="s">
        <v>88</v>
      </c>
      <c r="C260" s="56" t="s">
        <v>176</v>
      </c>
      <c r="E260" s="8">
        <f>+E172</f>
        <v>146.30499999999986</v>
      </c>
      <c r="G260" s="8">
        <f>+G172</f>
        <v>15979</v>
      </c>
      <c r="I260" s="8">
        <f>+I172</f>
        <v>2199.4100000000003</v>
      </c>
      <c r="K260" s="8">
        <f>+K172</f>
        <v>2832</v>
      </c>
      <c r="M260" s="8">
        <f>+M172</f>
        <v>736.4</v>
      </c>
    </row>
    <row r="261" spans="2:13" x14ac:dyDescent="0.4">
      <c r="B261" s="23" t="s">
        <v>89</v>
      </c>
      <c r="C261" s="56" t="s">
        <v>177</v>
      </c>
      <c r="E261" s="32">
        <v>75</v>
      </c>
      <c r="G261" s="32">
        <v>15104</v>
      </c>
      <c r="I261" s="32">
        <v>2393</v>
      </c>
      <c r="K261" s="32">
        <v>2530</v>
      </c>
      <c r="M261" s="32">
        <v>719</v>
      </c>
    </row>
    <row r="262" spans="2:13" x14ac:dyDescent="0.4">
      <c r="B262" s="23" t="s">
        <v>90</v>
      </c>
      <c r="C262" s="56" t="s">
        <v>178</v>
      </c>
      <c r="E262" s="32">
        <v>109</v>
      </c>
      <c r="G262" s="32">
        <v>15200</v>
      </c>
      <c r="I262" s="32">
        <v>2755</v>
      </c>
      <c r="K262" s="32">
        <v>2769</v>
      </c>
      <c r="M262" s="32">
        <v>796</v>
      </c>
    </row>
    <row r="263" spans="2:13" x14ac:dyDescent="0.4">
      <c r="B263" s="23" t="s">
        <v>91</v>
      </c>
      <c r="C263" s="56" t="s">
        <v>179</v>
      </c>
      <c r="E263" s="32">
        <v>149</v>
      </c>
      <c r="G263" s="32">
        <v>15715</v>
      </c>
      <c r="I263" s="32">
        <v>3182</v>
      </c>
      <c r="K263" s="32">
        <v>2945</v>
      </c>
      <c r="M263" s="32">
        <v>826</v>
      </c>
    </row>
    <row r="264" spans="2:13" x14ac:dyDescent="0.4">
      <c r="B264" s="23" t="s">
        <v>108</v>
      </c>
      <c r="C264" s="56" t="s">
        <v>180</v>
      </c>
      <c r="E264" s="32"/>
      <c r="G264" s="32"/>
      <c r="I264" s="32">
        <v>3926</v>
      </c>
      <c r="K264" s="32"/>
      <c r="M264" s="32"/>
    </row>
    <row r="265" spans="2:13" x14ac:dyDescent="0.4">
      <c r="B265" s="21"/>
    </row>
    <row r="266" spans="2:13" x14ac:dyDescent="0.4">
      <c r="B266" s="5" t="s">
        <v>98</v>
      </c>
    </row>
    <row r="267" spans="2:13" x14ac:dyDescent="0.4">
      <c r="B267" s="23" t="s">
        <v>88</v>
      </c>
      <c r="C267" s="56" t="s">
        <v>171</v>
      </c>
      <c r="E267" s="33">
        <f>+E173</f>
        <v>1.0946958076753277</v>
      </c>
      <c r="G267" s="33">
        <f>+G173</f>
        <v>3.8925700365408038</v>
      </c>
      <c r="I267" s="33">
        <f>+I173</f>
        <v>6.9352483957935904</v>
      </c>
      <c r="K267" s="33">
        <f>+K173</f>
        <v>2.1519756838905777</v>
      </c>
      <c r="M267" s="33">
        <f>+M173</f>
        <v>2.2595888309297329</v>
      </c>
    </row>
    <row r="268" spans="2:13" x14ac:dyDescent="0.4">
      <c r="B268" s="23" t="s">
        <v>89</v>
      </c>
      <c r="C268" s="56" t="s">
        <v>172</v>
      </c>
      <c r="E268" s="36">
        <v>0.56999999999999995</v>
      </c>
      <c r="G268" s="36">
        <v>3.72</v>
      </c>
      <c r="I268" s="36">
        <v>7.47</v>
      </c>
      <c r="K268" s="36">
        <v>1.92</v>
      </c>
      <c r="M268" s="36">
        <v>2.2400000000000002</v>
      </c>
    </row>
    <row r="269" spans="2:13" x14ac:dyDescent="0.4">
      <c r="B269" s="23" t="s">
        <v>90</v>
      </c>
      <c r="C269" s="56" t="s">
        <v>173</v>
      </c>
      <c r="E269" s="36">
        <v>0.83</v>
      </c>
      <c r="G269" s="36">
        <v>3.8</v>
      </c>
      <c r="I269" s="36">
        <v>8.5500000000000007</v>
      </c>
      <c r="K269" s="36">
        <v>2.12</v>
      </c>
      <c r="M269" s="36">
        <v>2.46</v>
      </c>
    </row>
    <row r="270" spans="2:13" x14ac:dyDescent="0.4">
      <c r="B270" s="23" t="s">
        <v>91</v>
      </c>
      <c r="C270" s="56" t="s">
        <v>174</v>
      </c>
      <c r="E270" s="36">
        <v>1.1399999999999999</v>
      </c>
      <c r="G270" s="36">
        <v>3.96</v>
      </c>
      <c r="I270" s="36">
        <v>9.8699999999999992</v>
      </c>
      <c r="K270" s="36">
        <v>2.29</v>
      </c>
      <c r="M270" s="36">
        <v>2.5099999999999998</v>
      </c>
    </row>
    <row r="271" spans="2:13" x14ac:dyDescent="0.4">
      <c r="B271" s="23" t="s">
        <v>108</v>
      </c>
      <c r="C271" s="56" t="s">
        <v>175</v>
      </c>
      <c r="E271" s="36"/>
      <c r="G271" s="36"/>
      <c r="I271" s="36">
        <v>12.3</v>
      </c>
      <c r="K271" s="36"/>
      <c r="M271" s="36"/>
    </row>
    <row r="272" spans="2:13" x14ac:dyDescent="0.4">
      <c r="B272" s="21"/>
    </row>
    <row r="273" spans="1:14" x14ac:dyDescent="0.4">
      <c r="A273" s="17" t="s">
        <v>101</v>
      </c>
      <c r="B273" s="18"/>
      <c r="C273" s="22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</row>
    <row r="274" spans="1:14" x14ac:dyDescent="0.4">
      <c r="A274" s="5"/>
      <c r="B274" s="23" t="s">
        <v>107</v>
      </c>
      <c r="C274" s="30"/>
      <c r="E274" s="37">
        <f>EOMONTH(E12,12)</f>
        <v>45473</v>
      </c>
      <c r="G274" s="37">
        <f>EOMONTH(G12,12)</f>
        <v>45504</v>
      </c>
      <c r="I274" s="37">
        <f>EOMONTH(I12,12)</f>
        <v>45657</v>
      </c>
      <c r="K274" s="37">
        <f>EOMONTH(K12,12)</f>
        <v>45596</v>
      </c>
      <c r="M274" s="37">
        <f>EOMONTH(M12,12)</f>
        <v>45657</v>
      </c>
    </row>
    <row r="275" spans="1:14" x14ac:dyDescent="0.4">
      <c r="A275" s="5"/>
      <c r="B275" s="23" t="s">
        <v>122</v>
      </c>
      <c r="C275" s="30"/>
      <c r="E275" s="37">
        <f>+$C$6</f>
        <v>45291</v>
      </c>
      <c r="G275" s="37">
        <f>+$C$6</f>
        <v>45291</v>
      </c>
      <c r="I275" s="37">
        <f>+$C$6</f>
        <v>45291</v>
      </c>
      <c r="K275" s="37">
        <f>+$C$6</f>
        <v>45291</v>
      </c>
      <c r="M275" s="37">
        <f>+$C$6</f>
        <v>45291</v>
      </c>
    </row>
    <row r="276" spans="1:14" x14ac:dyDescent="0.4">
      <c r="A276" s="5"/>
      <c r="B276" s="23"/>
      <c r="C276" s="30"/>
    </row>
    <row r="277" spans="1:14" x14ac:dyDescent="0.4">
      <c r="A277" s="5"/>
      <c r="B277" s="23" t="s">
        <v>102</v>
      </c>
      <c r="C277" s="30"/>
      <c r="E277" s="31">
        <f>YEARFRAC(E274,E275)</f>
        <v>0.5</v>
      </c>
      <c r="G277" s="31">
        <f>YEARFRAC(G274,G275)</f>
        <v>0.58333333333333337</v>
      </c>
      <c r="I277" s="31">
        <f>YEARFRAC(I274,I275)</f>
        <v>1</v>
      </c>
      <c r="K277" s="31">
        <f>YEARFRAC(K274,K275)</f>
        <v>0.83333333333333337</v>
      </c>
      <c r="M277" s="31">
        <f>YEARFRAC(M274,M275)</f>
        <v>1</v>
      </c>
    </row>
    <row r="278" spans="1:14" x14ac:dyDescent="0.4">
      <c r="A278" s="5"/>
      <c r="B278" s="23" t="s">
        <v>103</v>
      </c>
      <c r="C278" s="30"/>
      <c r="E278" s="31">
        <f>1-E277</f>
        <v>0.5</v>
      </c>
      <c r="G278" s="31">
        <f>1-G277</f>
        <v>0.41666666666666663</v>
      </c>
      <c r="I278" s="31">
        <f>1-I277</f>
        <v>0</v>
      </c>
      <c r="K278" s="31">
        <f>1-K277</f>
        <v>0.16666666666666663</v>
      </c>
      <c r="M278" s="31">
        <f>1-M277</f>
        <v>0</v>
      </c>
    </row>
    <row r="279" spans="1:14" x14ac:dyDescent="0.4">
      <c r="A279" s="5"/>
      <c r="C279" s="30"/>
    </row>
    <row r="280" spans="1:14" x14ac:dyDescent="0.4">
      <c r="B280" s="5" t="s">
        <v>66</v>
      </c>
    </row>
    <row r="281" spans="1:14" x14ac:dyDescent="0.4">
      <c r="B281" s="23" t="s">
        <v>121</v>
      </c>
      <c r="C281" s="56" t="s">
        <v>186</v>
      </c>
      <c r="E281" s="50">
        <f>IF(E240="","n/a",E239*E$277+E240*E$278)</f>
        <v>1223.2269999999999</v>
      </c>
      <c r="G281" s="50">
        <f>IF(G240="","n/a",G239*G$277+G240*G$278)</f>
        <v>54991.333333333328</v>
      </c>
      <c r="I281" s="50">
        <f>IF(I240="","n/a",I239*I$277+I240*I$278)</f>
        <v>5860.1680000000006</v>
      </c>
      <c r="K281" s="50">
        <f>IF(K240="","n/a",K239*K$277+K240*K$278)</f>
        <v>29188.166666666668</v>
      </c>
      <c r="M281" s="50">
        <f>IF(M240="","n/a",M239*M$277+M240*M$278)</f>
        <v>5564.5</v>
      </c>
    </row>
    <row r="282" spans="1:14" x14ac:dyDescent="0.4">
      <c r="B282" s="23" t="s">
        <v>104</v>
      </c>
      <c r="C282" s="56" t="s">
        <v>187</v>
      </c>
      <c r="E282" s="50">
        <f t="shared" ref="E282:G284" si="0">IF(E241="","n/a",E240*E$277+E241*E$278)</f>
        <v>1139</v>
      </c>
      <c r="G282" s="50">
        <f t="shared" si="0"/>
        <v>52277.416666666672</v>
      </c>
      <c r="I282" s="50">
        <f t="shared" ref="I282:K282" si="1">IF(I241="","n/a",I240*I$277+I241*I$278)</f>
        <v>6598</v>
      </c>
      <c r="K282" s="50">
        <f t="shared" si="1"/>
        <v>29625</v>
      </c>
      <c r="M282" s="50">
        <f t="shared" ref="M282" si="2">IF(M241="","n/a",M240*M$277+M241*M$278)</f>
        <v>5413</v>
      </c>
    </row>
    <row r="283" spans="1:14" x14ac:dyDescent="0.4">
      <c r="B283" s="23" t="s">
        <v>105</v>
      </c>
      <c r="C283" s="56" t="s">
        <v>188</v>
      </c>
      <c r="E283" s="50">
        <f t="shared" si="0"/>
        <v>1192</v>
      </c>
      <c r="G283" s="50">
        <f t="shared" si="0"/>
        <v>53056</v>
      </c>
      <c r="I283" s="50">
        <f t="shared" ref="I283:K283" si="3">IF(I242="","n/a",I241*I$277+I242*I$278)</f>
        <v>7587</v>
      </c>
      <c r="K283" s="50">
        <f t="shared" si="3"/>
        <v>30648.333333333332</v>
      </c>
      <c r="M283" s="50">
        <f t="shared" ref="M283" si="4">IF(M242="","n/a",M241*M$277+M242*M$278)</f>
        <v>5640</v>
      </c>
    </row>
    <row r="284" spans="1:14" x14ac:dyDescent="0.4">
      <c r="B284" s="23" t="s">
        <v>106</v>
      </c>
      <c r="C284" s="56" t="s">
        <v>189</v>
      </c>
      <c r="E284" s="50" t="str">
        <f t="shared" si="0"/>
        <v>n/a</v>
      </c>
      <c r="G284" s="50" t="str">
        <f t="shared" si="0"/>
        <v>n/a</v>
      </c>
      <c r="I284" s="50">
        <f t="shared" ref="I284:K284" si="5">IF(I243="","n/a",I242*I$277+I243*I$278)</f>
        <v>8675</v>
      </c>
      <c r="K284" s="50" t="str">
        <f t="shared" si="5"/>
        <v>n/a</v>
      </c>
      <c r="M284" s="50" t="str">
        <f t="shared" ref="M284" si="6">IF(M243="","n/a",M242*M$277+M243*M$278)</f>
        <v>n/a</v>
      </c>
    </row>
    <row r="285" spans="1:14" x14ac:dyDescent="0.4">
      <c r="B285" s="21"/>
      <c r="C285" s="56"/>
    </row>
    <row r="286" spans="1:14" x14ac:dyDescent="0.4">
      <c r="B286" s="5" t="s">
        <v>78</v>
      </c>
    </row>
    <row r="287" spans="1:14" x14ac:dyDescent="0.4">
      <c r="B287" s="23" t="s">
        <v>121</v>
      </c>
      <c r="C287" s="56" t="s">
        <v>190</v>
      </c>
      <c r="E287" s="50">
        <f>IF(E247="","n/a",E246*E$277+E247*E$278)</f>
        <v>176.94699999999995</v>
      </c>
      <c r="G287" s="50">
        <f>IF(G247="","n/a",G246*G$277+G247*G$278)</f>
        <v>19563.333333333332</v>
      </c>
      <c r="I287" s="50">
        <f>IF(I247="","n/a",I246*I$277+I247*I$278)</f>
        <v>2640.6350000000002</v>
      </c>
      <c r="K287" s="50">
        <f>IF(K247="","n/a",K246*K$277+K247*K$278)</f>
        <v>5512.666666666667</v>
      </c>
      <c r="M287" s="50">
        <f>IF(M247="","n/a",M246*M$277+M247*M$278)</f>
        <v>1066.1999999999998</v>
      </c>
    </row>
    <row r="288" spans="1:14" x14ac:dyDescent="0.4">
      <c r="B288" s="23" t="s">
        <v>104</v>
      </c>
      <c r="C288" s="56" t="s">
        <v>191</v>
      </c>
      <c r="E288" s="50">
        <f t="shared" ref="E288:G290" si="7">IF(E248="","n/a",E247*E$277+E248*E$278)</f>
        <v>154.5</v>
      </c>
      <c r="G288" s="50">
        <f t="shared" si="7"/>
        <v>19226.333333333332</v>
      </c>
      <c r="I288" s="50">
        <f t="shared" ref="I288:K288" si="8">IF(I248="","n/a",I247*I$277+I248*I$278)</f>
        <v>2894</v>
      </c>
      <c r="K288" s="50">
        <f t="shared" si="8"/>
        <v>5766.333333333333</v>
      </c>
      <c r="M288" s="50">
        <f t="shared" ref="M288" si="9">IF(M248="","n/a",M247*M$277+M248*M$278)</f>
        <v>1100</v>
      </c>
    </row>
    <row r="289" spans="2:13" x14ac:dyDescent="0.4">
      <c r="B289" s="23" t="s">
        <v>105</v>
      </c>
      <c r="C289" s="56" t="s">
        <v>192</v>
      </c>
      <c r="E289" s="50">
        <f t="shared" si="7"/>
        <v>201.5</v>
      </c>
      <c r="G289" s="50">
        <f t="shared" si="7"/>
        <v>19528.75</v>
      </c>
      <c r="I289" s="50">
        <f t="shared" ref="I289:K289" si="10">IF(I249="","n/a",I248*I$277+I249*I$278)</f>
        <v>3426</v>
      </c>
      <c r="K289" s="50">
        <f t="shared" si="10"/>
        <v>6065</v>
      </c>
      <c r="M289" s="50">
        <f t="shared" ref="M289" si="11">IF(M249="","n/a",M248*M$277+M249*M$278)</f>
        <v>1181</v>
      </c>
    </row>
    <row r="290" spans="2:13" x14ac:dyDescent="0.4">
      <c r="B290" s="23" t="s">
        <v>106</v>
      </c>
      <c r="C290" s="56" t="s">
        <v>193</v>
      </c>
      <c r="E290" s="50" t="str">
        <f t="shared" si="7"/>
        <v>n/a</v>
      </c>
      <c r="G290" s="50" t="str">
        <f t="shared" si="7"/>
        <v>n/a</v>
      </c>
      <c r="I290" s="50">
        <f t="shared" ref="I290:K290" si="12">IF(I250="","n/a",I249*I$277+I250*I$278)</f>
        <v>3990</v>
      </c>
      <c r="K290" s="50" t="str">
        <f t="shared" si="12"/>
        <v>n/a</v>
      </c>
      <c r="M290" s="50" t="str">
        <f t="shared" ref="M290" si="13">IF(M250="","n/a",M249*M$277+M250*M$278)</f>
        <v>n/a</v>
      </c>
    </row>
    <row r="291" spans="2:13" x14ac:dyDescent="0.4">
      <c r="B291" s="21"/>
    </row>
    <row r="292" spans="2:13" x14ac:dyDescent="0.4">
      <c r="B292" s="5" t="s">
        <v>77</v>
      </c>
      <c r="C292" s="56"/>
    </row>
    <row r="293" spans="2:13" x14ac:dyDescent="0.4">
      <c r="B293" s="23" t="s">
        <v>121</v>
      </c>
      <c r="C293" s="56" t="s">
        <v>194</v>
      </c>
      <c r="E293" s="50">
        <f>IF(E254="","n/a",E253*E$277+E254*E$278)</f>
        <v>158.96699999999993</v>
      </c>
      <c r="G293" s="50">
        <f>IF(G254="","n/a",G253*G$277+G254*G$278)</f>
        <v>18617.25</v>
      </c>
      <c r="I293" s="50">
        <f>IF(I254="","n/a",I253*I$277+I254*I$278)</f>
        <v>2603.442</v>
      </c>
      <c r="K293" s="50">
        <f>IF(K254="","n/a",K253*K$277+K254*K$278)</f>
        <v>3154.666666666667</v>
      </c>
      <c r="M293" s="50">
        <f>IF(M254="","n/a",M253*M$277+M254*M$278)</f>
        <v>940.0999999999998</v>
      </c>
    </row>
    <row r="294" spans="2:13" x14ac:dyDescent="0.4">
      <c r="B294" s="23" t="s">
        <v>104</v>
      </c>
      <c r="C294" s="56" t="s">
        <v>195</v>
      </c>
      <c r="E294" s="50">
        <f t="shared" ref="E294:G296" si="14">IF(E255="","n/a",E254*E$277+E255*E$278)</f>
        <v>140.5</v>
      </c>
      <c r="G294" s="50">
        <f t="shared" si="14"/>
        <v>18056.583333333332</v>
      </c>
      <c r="I294" s="50">
        <f t="shared" ref="I294:K294" si="15">IF(I255="","n/a",I254*I$277+I255*I$278)</f>
        <v>2846</v>
      </c>
      <c r="K294" s="50">
        <f t="shared" si="15"/>
        <v>3242.8333333333335</v>
      </c>
      <c r="M294" s="50">
        <f t="shared" ref="M294" si="16">IF(M255="","n/a",M254*M$277+M255*M$278)</f>
        <v>922</v>
      </c>
    </row>
    <row r="295" spans="2:13" x14ac:dyDescent="0.4">
      <c r="B295" s="23" t="s">
        <v>105</v>
      </c>
      <c r="C295" s="56" t="s">
        <v>196</v>
      </c>
      <c r="E295" s="50">
        <f t="shared" si="14"/>
        <v>186</v>
      </c>
      <c r="G295" s="50">
        <f t="shared" si="14"/>
        <v>18420.166666666668</v>
      </c>
      <c r="I295" s="50">
        <f t="shared" ref="I295:K295" si="17">IF(I256="","n/a",I255*I$277+I256*I$278)</f>
        <v>3304</v>
      </c>
      <c r="K295" s="50">
        <f t="shared" si="17"/>
        <v>3477.8333333333335</v>
      </c>
      <c r="M295" s="50">
        <f t="shared" ref="M295" si="18">IF(M256="","n/a",M255*M$277+M256*M$278)</f>
        <v>1015</v>
      </c>
    </row>
    <row r="296" spans="2:13" x14ac:dyDescent="0.4">
      <c r="B296" s="23" t="s">
        <v>106</v>
      </c>
      <c r="C296" s="56" t="s">
        <v>197</v>
      </c>
      <c r="E296" s="50" t="str">
        <f t="shared" si="14"/>
        <v>n/a</v>
      </c>
      <c r="G296" s="50" t="str">
        <f t="shared" si="14"/>
        <v>n/a</v>
      </c>
      <c r="I296" s="50">
        <f t="shared" ref="I296:K296" si="19">IF(I257="","n/a",I256*I$277+I257*I$278)</f>
        <v>3801</v>
      </c>
      <c r="K296" s="50" t="str">
        <f t="shared" si="19"/>
        <v>n/a</v>
      </c>
      <c r="M296" s="50" t="str">
        <f t="shared" ref="M296" si="20">IF(M257="","n/a",M256*M$277+M257*M$278)</f>
        <v>n/a</v>
      </c>
    </row>
    <row r="297" spans="2:13" x14ac:dyDescent="0.4">
      <c r="B297" s="21"/>
      <c r="C297" s="56"/>
    </row>
    <row r="298" spans="2:13" x14ac:dyDescent="0.4">
      <c r="B298" s="5" t="s">
        <v>79</v>
      </c>
    </row>
    <row r="299" spans="2:13" x14ac:dyDescent="0.4">
      <c r="B299" s="23" t="s">
        <v>121</v>
      </c>
      <c r="C299" s="56" t="s">
        <v>198</v>
      </c>
      <c r="E299" s="50">
        <f>IF(E261="","n/a",E260*E$277+E261*E$278)</f>
        <v>110.65249999999993</v>
      </c>
      <c r="G299" s="50">
        <f>IF(G261="","n/a",G260*G$277+G261*G$278)</f>
        <v>15614.416666666668</v>
      </c>
      <c r="I299" s="50">
        <f>IF(I261="","n/a",I260*I$277+I261*I$278)</f>
        <v>2199.4100000000003</v>
      </c>
      <c r="K299" s="50">
        <f>IF(K261="","n/a",K260*K$277+K261*K$278)</f>
        <v>2781.6666666666665</v>
      </c>
      <c r="M299" s="50">
        <f>IF(M261="","n/a",M260*M$277+M261*M$278)</f>
        <v>736.4</v>
      </c>
    </row>
    <row r="300" spans="2:13" x14ac:dyDescent="0.4">
      <c r="B300" s="23" t="s">
        <v>104</v>
      </c>
      <c r="C300" s="56" t="s">
        <v>199</v>
      </c>
      <c r="E300" s="50">
        <f t="shared" ref="E300:G302" si="21">IF(E262="","n/a",E261*E$277+E262*E$278)</f>
        <v>92</v>
      </c>
      <c r="G300" s="50">
        <f t="shared" si="21"/>
        <v>15144</v>
      </c>
      <c r="I300" s="50">
        <f t="shared" ref="I300:K300" si="22">IF(I262="","n/a",I261*I$277+I262*I$278)</f>
        <v>2393</v>
      </c>
      <c r="K300" s="50">
        <f t="shared" si="22"/>
        <v>2569.8333333333335</v>
      </c>
      <c r="M300" s="50">
        <f t="shared" ref="M300" si="23">IF(M262="","n/a",M261*M$277+M262*M$278)</f>
        <v>719</v>
      </c>
    </row>
    <row r="301" spans="2:13" x14ac:dyDescent="0.4">
      <c r="B301" s="23" t="s">
        <v>105</v>
      </c>
      <c r="C301" s="56" t="s">
        <v>200</v>
      </c>
      <c r="E301" s="50">
        <f t="shared" si="21"/>
        <v>129</v>
      </c>
      <c r="G301" s="50">
        <f t="shared" si="21"/>
        <v>15414.583333333334</v>
      </c>
      <c r="I301" s="50">
        <f t="shared" ref="I301:K301" si="24">IF(I263="","n/a",I262*I$277+I263*I$278)</f>
        <v>2755</v>
      </c>
      <c r="K301" s="50">
        <f t="shared" si="24"/>
        <v>2798.333333333333</v>
      </c>
      <c r="M301" s="50">
        <f t="shared" ref="M301" si="25">IF(M263="","n/a",M262*M$277+M263*M$278)</f>
        <v>796</v>
      </c>
    </row>
    <row r="302" spans="2:13" x14ac:dyDescent="0.4">
      <c r="B302" s="23" t="s">
        <v>106</v>
      </c>
      <c r="C302" s="56" t="s">
        <v>201</v>
      </c>
      <c r="E302" s="50" t="str">
        <f t="shared" si="21"/>
        <v>n/a</v>
      </c>
      <c r="G302" s="50" t="str">
        <f t="shared" si="21"/>
        <v>n/a</v>
      </c>
      <c r="I302" s="50">
        <f t="shared" ref="I302:K302" si="26">IF(I264="","n/a",I263*I$277+I264*I$278)</f>
        <v>3182</v>
      </c>
      <c r="K302" s="50" t="str">
        <f t="shared" si="26"/>
        <v>n/a</v>
      </c>
      <c r="M302" s="50" t="str">
        <f t="shared" ref="M302" si="27">IF(M264="","n/a",M263*M$277+M264*M$278)</f>
        <v>n/a</v>
      </c>
    </row>
    <row r="303" spans="2:13" x14ac:dyDescent="0.4">
      <c r="B303" s="21"/>
      <c r="C303" s="56"/>
    </row>
    <row r="304" spans="2:13" x14ac:dyDescent="0.4">
      <c r="B304" s="5" t="s">
        <v>98</v>
      </c>
    </row>
    <row r="305" spans="2:13" x14ac:dyDescent="0.4">
      <c r="B305" s="23" t="s">
        <v>121</v>
      </c>
      <c r="C305" s="56" t="s">
        <v>202</v>
      </c>
      <c r="E305" s="51">
        <f>IF(E268="","n/a",E267*E$277+E268*E$278)</f>
        <v>0.83234790383766377</v>
      </c>
      <c r="G305" s="51">
        <f>IF(G268="","n/a",G267*G$277+G268*G$278)</f>
        <v>3.8206658546488024</v>
      </c>
      <c r="I305" s="51">
        <f>IF(I268="","n/a",I267*I$277+I268*I$278)</f>
        <v>6.9352483957935904</v>
      </c>
      <c r="K305" s="51">
        <f>IF(K268="","n/a",K267*K$277+K268*K$278)</f>
        <v>2.113313069908815</v>
      </c>
      <c r="M305" s="51">
        <f>IF(M268="","n/a",M267*M$277+M268*M$278)</f>
        <v>2.2595888309297329</v>
      </c>
    </row>
    <row r="306" spans="2:13" x14ac:dyDescent="0.4">
      <c r="B306" s="23" t="s">
        <v>104</v>
      </c>
      <c r="C306" s="56" t="s">
        <v>203</v>
      </c>
      <c r="E306" s="51">
        <f t="shared" ref="E306:G308" si="28">IF(E269="","n/a",E268*E$277+E269*E$278)</f>
        <v>0.7</v>
      </c>
      <c r="G306" s="51">
        <f t="shared" si="28"/>
        <v>3.7533333333333334</v>
      </c>
      <c r="I306" s="51">
        <f t="shared" ref="I306:K306" si="29">IF(I269="","n/a",I268*I$277+I269*I$278)</f>
        <v>7.47</v>
      </c>
      <c r="K306" s="51">
        <f t="shared" si="29"/>
        <v>1.9533333333333334</v>
      </c>
      <c r="M306" s="51">
        <f t="shared" ref="M306" si="30">IF(M269="","n/a",M268*M$277+M269*M$278)</f>
        <v>2.2400000000000002</v>
      </c>
    </row>
    <row r="307" spans="2:13" x14ac:dyDescent="0.4">
      <c r="B307" s="23" t="s">
        <v>105</v>
      </c>
      <c r="C307" s="56" t="s">
        <v>204</v>
      </c>
      <c r="E307" s="51">
        <f t="shared" si="28"/>
        <v>0.98499999999999988</v>
      </c>
      <c r="G307" s="51">
        <f t="shared" si="28"/>
        <v>3.8666666666666667</v>
      </c>
      <c r="I307" s="51">
        <f t="shared" ref="I307:K307" si="31">IF(I270="","n/a",I269*I$277+I270*I$278)</f>
        <v>8.5500000000000007</v>
      </c>
      <c r="K307" s="51">
        <f t="shared" si="31"/>
        <v>2.1483333333333334</v>
      </c>
      <c r="M307" s="51">
        <f t="shared" ref="M307" si="32">IF(M270="","n/a",M269*M$277+M270*M$278)</f>
        <v>2.46</v>
      </c>
    </row>
    <row r="308" spans="2:13" x14ac:dyDescent="0.4">
      <c r="B308" s="23" t="s">
        <v>106</v>
      </c>
      <c r="C308" s="56" t="s">
        <v>205</v>
      </c>
      <c r="E308" s="51" t="str">
        <f t="shared" si="28"/>
        <v>n/a</v>
      </c>
      <c r="G308" s="51" t="str">
        <f t="shared" si="28"/>
        <v>n/a</v>
      </c>
      <c r="I308" s="51">
        <f t="shared" ref="I308:K308" si="33">IF(I271="","n/a",I270*I$277+I271*I$278)</f>
        <v>9.8699999999999992</v>
      </c>
      <c r="K308" s="51" t="str">
        <f t="shared" si="33"/>
        <v>n/a</v>
      </c>
      <c r="M308" s="51" t="str">
        <f t="shared" ref="M308" si="34">IF(M271="","n/a",M270*M$277+M271*M$278)</f>
        <v>n/a</v>
      </c>
    </row>
    <row r="309" spans="2:13" x14ac:dyDescent="0.4">
      <c r="C309" s="56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56093-E1C3-4A91-8E30-81CA339A96E2}">
  <sheetPr>
    <tabColor theme="5" tint="-0.249977111117893"/>
  </sheetPr>
  <dimension ref="A1:AN22"/>
  <sheetViews>
    <sheetView showGridLines="0" zoomScale="105" zoomScaleNormal="105" workbookViewId="0"/>
  </sheetViews>
  <sheetFormatPr defaultRowHeight="12.7" outlineLevelRow="1" outlineLevelCol="1" x14ac:dyDescent="0.4"/>
  <cols>
    <col min="1" max="1" width="0.76171875" customWidth="1"/>
    <col min="3" max="3" width="16.41015625" bestFit="1" customWidth="1"/>
    <col min="4" max="4" width="0.76171875" customWidth="1"/>
    <col min="5" max="6" width="11.41015625" bestFit="1" customWidth="1"/>
    <col min="7" max="7" width="10.64453125" customWidth="1"/>
    <col min="8" max="8" width="12.1171875" customWidth="1" outlineLevel="1"/>
    <col min="9" max="9" width="0.76171875" customWidth="1" outlineLevel="1"/>
    <col min="10" max="13" width="10.76171875" customWidth="1" outlineLevel="1"/>
    <col min="14" max="14" width="2.234375" customWidth="1" outlineLevel="1"/>
    <col min="15" max="15" width="10.76171875" customWidth="1" outlineLevel="1"/>
    <col min="16" max="16" width="2.234375" customWidth="1" outlineLevel="1"/>
    <col min="17" max="20" width="10.76171875" customWidth="1" outlineLevel="1"/>
    <col min="21" max="21" width="2.234375" customWidth="1" outlineLevel="1"/>
    <col min="22" max="22" width="10.76171875" customWidth="1" outlineLevel="1"/>
    <col min="23" max="23" width="2.234375" customWidth="1" outlineLevel="1"/>
    <col min="24" max="27" width="10.76171875" customWidth="1"/>
    <col min="28" max="28" width="2.234375" customWidth="1"/>
    <col min="29" max="32" width="10.76171875" customWidth="1"/>
    <col min="33" max="33" width="2.234375" customWidth="1"/>
    <col min="34" max="34" width="10.76171875" customWidth="1"/>
    <col min="35" max="35" width="2.234375" customWidth="1"/>
    <col min="36" max="39" width="10.76171875" customWidth="1"/>
    <col min="40" max="40" width="0.76171875" customWidth="1"/>
  </cols>
  <sheetData>
    <row r="1" spans="1:40" outlineLevel="1" x14ac:dyDescent="0.4">
      <c r="C1" s="109" t="s">
        <v>145</v>
      </c>
      <c r="D1" s="55"/>
      <c r="E1" s="109" t="s">
        <v>170</v>
      </c>
      <c r="F1" s="109" t="s">
        <v>148</v>
      </c>
      <c r="G1" s="109" t="s">
        <v>146</v>
      </c>
      <c r="H1" s="109" t="s">
        <v>169</v>
      </c>
      <c r="J1" s="109" t="s">
        <v>186</v>
      </c>
      <c r="K1" s="109" t="s">
        <v>154</v>
      </c>
      <c r="L1" s="109" t="s">
        <v>187</v>
      </c>
      <c r="M1" s="109" t="s">
        <v>188</v>
      </c>
      <c r="Q1" s="109" t="s">
        <v>190</v>
      </c>
      <c r="R1" s="109" t="s">
        <v>155</v>
      </c>
      <c r="S1" s="109" t="s">
        <v>191</v>
      </c>
      <c r="T1" s="109" t="s">
        <v>192</v>
      </c>
      <c r="AC1" s="109" t="s">
        <v>198</v>
      </c>
      <c r="AD1" s="109" t="s">
        <v>158</v>
      </c>
      <c r="AE1" s="109" t="s">
        <v>199</v>
      </c>
      <c r="AF1" s="109" t="s">
        <v>200</v>
      </c>
    </row>
    <row r="2" spans="1:40" ht="17.7" x14ac:dyDescent="0.55000000000000004">
      <c r="A2" s="3" t="s">
        <v>214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spans="1:40" x14ac:dyDescent="0.4">
      <c r="A3" s="4" t="s">
        <v>3</v>
      </c>
    </row>
    <row r="5" spans="1:40" s="5" customFormat="1" ht="15.7" x14ac:dyDescent="0.85">
      <c r="E5" s="58" t="s">
        <v>139</v>
      </c>
      <c r="F5" s="58" t="s">
        <v>141</v>
      </c>
      <c r="H5" s="58" t="s">
        <v>217</v>
      </c>
      <c r="J5" s="59" t="s">
        <v>66</v>
      </c>
      <c r="K5" s="59"/>
      <c r="L5" s="59"/>
      <c r="M5" s="59"/>
      <c r="O5" s="91" t="s">
        <v>219</v>
      </c>
      <c r="Q5" s="59" t="s">
        <v>78</v>
      </c>
      <c r="R5" s="59"/>
      <c r="S5" s="59"/>
      <c r="T5" s="59"/>
      <c r="V5" s="91" t="s">
        <v>219</v>
      </c>
      <c r="X5" s="59" t="s">
        <v>144</v>
      </c>
      <c r="Y5" s="59"/>
      <c r="Z5" s="59"/>
      <c r="AA5" s="59"/>
      <c r="AC5" s="59" t="s">
        <v>79</v>
      </c>
      <c r="AD5" s="59"/>
      <c r="AE5" s="59"/>
      <c r="AF5" s="59"/>
      <c r="AH5" s="91" t="s">
        <v>219</v>
      </c>
      <c r="AJ5" s="59" t="s">
        <v>210</v>
      </c>
      <c r="AK5" s="59"/>
      <c r="AL5" s="59"/>
      <c r="AM5" s="59"/>
    </row>
    <row r="6" spans="1:40" s="5" customFormat="1" x14ac:dyDescent="0.4">
      <c r="B6" s="17" t="s">
        <v>4</v>
      </c>
      <c r="C6" s="17" t="s">
        <v>137</v>
      </c>
      <c r="D6" s="17"/>
      <c r="E6" s="60" t="s">
        <v>140</v>
      </c>
      <c r="F6" s="60" t="s">
        <v>142</v>
      </c>
      <c r="G6" s="60" t="s">
        <v>138</v>
      </c>
      <c r="H6" s="60" t="s">
        <v>218</v>
      </c>
      <c r="I6" s="17"/>
      <c r="J6" s="61">
        <f>+'Input Tab'!C6</f>
        <v>45291</v>
      </c>
      <c r="K6" s="80" t="s">
        <v>143</v>
      </c>
      <c r="L6" s="62">
        <f>+EOMONTH(J6,12)</f>
        <v>45657</v>
      </c>
      <c r="M6" s="62">
        <f>+EOMONTH(L6,12)</f>
        <v>46022</v>
      </c>
      <c r="N6" s="17"/>
      <c r="O6" s="60" t="str">
        <f>"'"&amp;RIGHT(YEAR(J6),2)&amp;"A-'"&amp;RIGHT(YEAR(M6),2)&amp;"E"</f>
        <v>'23A-'25E</v>
      </c>
      <c r="P6" s="17"/>
      <c r="Q6" s="63">
        <f>+J6</f>
        <v>45291</v>
      </c>
      <c r="R6" s="63" t="str">
        <f>+K6</f>
        <v>LTM</v>
      </c>
      <c r="S6" s="64">
        <f>+L6</f>
        <v>45657</v>
      </c>
      <c r="T6" s="64">
        <f>+M6</f>
        <v>46022</v>
      </c>
      <c r="U6" s="17"/>
      <c r="V6" s="60" t="str">
        <f>"'"&amp;RIGHT(YEAR(Q6),2)&amp;"A-'"&amp;RIGHT(YEAR(T6),2)&amp;"E"</f>
        <v>'23A-'25E</v>
      </c>
      <c r="W6" s="17"/>
      <c r="X6" s="63">
        <f>+Q6</f>
        <v>45291</v>
      </c>
      <c r="Y6" s="63" t="str">
        <f>+R6</f>
        <v>LTM</v>
      </c>
      <c r="Z6" s="64">
        <f t="shared" ref="Z6" si="0">+S6</f>
        <v>45657</v>
      </c>
      <c r="AA6" s="64">
        <f t="shared" ref="AA6" si="1">+T6</f>
        <v>46022</v>
      </c>
      <c r="AB6" s="17"/>
      <c r="AC6" s="63">
        <f>+Q6</f>
        <v>45291</v>
      </c>
      <c r="AD6" s="63" t="str">
        <f>+Y6</f>
        <v>LTM</v>
      </c>
      <c r="AE6" s="64">
        <f t="shared" ref="AE6" si="2">+S6</f>
        <v>45657</v>
      </c>
      <c r="AF6" s="64">
        <f t="shared" ref="AF6" si="3">+T6</f>
        <v>46022</v>
      </c>
      <c r="AG6" s="17"/>
      <c r="AH6" s="60" t="str">
        <f>"'"&amp;RIGHT(YEAR(AC6),2)&amp;"A-'"&amp;RIGHT(YEAR(AF6),2)&amp;"E"</f>
        <v>'23A-'25E</v>
      </c>
      <c r="AI6" s="17"/>
      <c r="AJ6" s="63">
        <f>+AC6</f>
        <v>45291</v>
      </c>
      <c r="AK6" s="63" t="str">
        <f>+AD6</f>
        <v>LTM</v>
      </c>
      <c r="AL6" s="64">
        <f t="shared" ref="AL6" si="4">+AE6</f>
        <v>45657</v>
      </c>
      <c r="AM6" s="64">
        <f t="shared" ref="AM6" si="5">+AF6</f>
        <v>46022</v>
      </c>
      <c r="AN6" s="65"/>
    </row>
    <row r="7" spans="1:40" ht="6" customHeight="1" x14ac:dyDescent="0.4">
      <c r="AN7" s="57"/>
    </row>
    <row r="8" spans="1:40" ht="13.2" customHeight="1" x14ac:dyDescent="0.4">
      <c r="B8" s="109" t="s">
        <v>135</v>
      </c>
      <c r="C8" t="str">
        <f>+HLOOKUP($B8,INPUTS,MATCH(C$1,METRICS,0),FALSE)</f>
        <v>Cisco Systems</v>
      </c>
      <c r="E8" s="68">
        <f t="shared" ref="E8:F11" si="6">+HLOOKUP($B8,INPUTS,MATCH(E$1,METRICS,0),FALSE)</f>
        <v>190226.80072879998</v>
      </c>
      <c r="F8" s="68">
        <f t="shared" si="6"/>
        <v>204292.80072879998</v>
      </c>
      <c r="G8" s="66">
        <f t="shared" ref="G8:G11" si="7">+HLOOKUP($B8,INPUTS,MATCH(G$1,METRICS,0),FALSE)</f>
        <v>48.86</v>
      </c>
      <c r="H8" s="90">
        <f>+HLOOKUP($B8,INPUTS,MATCH(H$1,METRICS,0),FALSE)/R8</f>
        <v>-0.68116222760290557</v>
      </c>
      <c r="J8" s="68">
        <f t="shared" ref="J8:M11" si="8">+HLOOKUP($B8,INPUTS,MATCH(J$1,METRICS,0),FALSE)</f>
        <v>54991.333333333328</v>
      </c>
      <c r="K8" s="68">
        <f t="shared" si="8"/>
        <v>57233</v>
      </c>
      <c r="L8" s="68">
        <f t="shared" si="8"/>
        <v>52277.416666666672</v>
      </c>
      <c r="M8" s="68">
        <f t="shared" si="8"/>
        <v>53056</v>
      </c>
      <c r="O8" s="96">
        <f>+(M8/J8)^(1/(YEAR(M$6)-YEAR(J$6)))-1</f>
        <v>-1.7754320151212477E-2</v>
      </c>
      <c r="Q8" s="68">
        <f t="shared" ref="Q8:T11" si="9">+HLOOKUP($B8,INPUTS,MATCH(Q$1,METRICS,0),FALSE)</f>
        <v>19563.333333333332</v>
      </c>
      <c r="R8" s="68">
        <f t="shared" si="9"/>
        <v>20650</v>
      </c>
      <c r="S8" s="68">
        <f t="shared" si="9"/>
        <v>19226.333333333332</v>
      </c>
      <c r="T8" s="68">
        <f t="shared" si="9"/>
        <v>19528.75</v>
      </c>
      <c r="V8" s="96">
        <f>+(T8/Q8)^(1/(YEAR(T$6)-YEAR(Q$6)))-1</f>
        <v>-8.842723796231855E-4</v>
      </c>
      <c r="X8" s="19">
        <f t="shared" ref="X8:AA11" si="10">+Q8/J8</f>
        <v>0.35575302774982726</v>
      </c>
      <c r="Y8" s="19">
        <f t="shared" si="10"/>
        <v>0.36080582880506001</v>
      </c>
      <c r="Z8" s="19">
        <f t="shared" si="10"/>
        <v>0.36777512278246338</v>
      </c>
      <c r="AA8" s="19">
        <f t="shared" si="10"/>
        <v>0.36807806845597107</v>
      </c>
      <c r="AC8" s="68">
        <f t="shared" ref="AC8:AF11" si="11">+HLOOKUP($B8,INPUTS,MATCH(AC$1,METRICS,0),FALSE)</f>
        <v>15614.416666666668</v>
      </c>
      <c r="AD8" s="68">
        <f t="shared" si="11"/>
        <v>16857</v>
      </c>
      <c r="AE8" s="68">
        <f t="shared" si="11"/>
        <v>15144</v>
      </c>
      <c r="AF8" s="68">
        <f t="shared" si="11"/>
        <v>15414.583333333334</v>
      </c>
      <c r="AH8" s="96">
        <f>+(AF8/AC8)^(1/(YEAR(AF$6)-YEAR(AC$6)))-1</f>
        <v>-6.4196065977267791E-3</v>
      </c>
      <c r="AJ8" s="31">
        <f t="shared" ref="AJ8:AM11" si="12">+AC8/J8</f>
        <v>0.28394322741765377</v>
      </c>
      <c r="AK8" s="31">
        <f t="shared" si="12"/>
        <v>0.29453287439064874</v>
      </c>
      <c r="AL8" s="31">
        <f t="shared" si="12"/>
        <v>0.28968531663608726</v>
      </c>
      <c r="AM8" s="31">
        <f t="shared" si="12"/>
        <v>0.29053421542018498</v>
      </c>
    </row>
    <row r="9" spans="1:40" x14ac:dyDescent="0.4">
      <c r="B9" s="109" t="s">
        <v>134</v>
      </c>
      <c r="C9" t="str">
        <f>+HLOOKUP($B9,INPUTS,MATCH(C$1,METRICS,0),FALSE)</f>
        <v>Arista Networks</v>
      </c>
      <c r="E9" s="67">
        <f t="shared" si="6"/>
        <v>81394.976897920016</v>
      </c>
      <c r="F9" s="67">
        <f t="shared" si="6"/>
        <v>86402.94489792001</v>
      </c>
      <c r="G9" s="69">
        <f t="shared" si="7"/>
        <v>267.66000000000003</v>
      </c>
      <c r="H9" s="90">
        <f>+HLOOKUP($B9,INPUTS,MATCH(H$1,METRICS,0),FALSE)/R9</f>
        <v>-1.8965014096988033</v>
      </c>
      <c r="J9" s="67">
        <f t="shared" si="8"/>
        <v>5860.1680000000006</v>
      </c>
      <c r="K9" s="67">
        <f t="shared" si="8"/>
        <v>5860.1680000000006</v>
      </c>
      <c r="L9" s="67">
        <f t="shared" si="8"/>
        <v>6598</v>
      </c>
      <c r="M9" s="67">
        <f t="shared" si="8"/>
        <v>7587</v>
      </c>
      <c r="O9" s="96">
        <f t="shared" ref="O9:O11" si="13">+(M9/J9)^(1/(YEAR(M$6)-YEAR(J$6)))-1</f>
        <v>0.13783688668986671</v>
      </c>
      <c r="Q9" s="67">
        <f t="shared" si="9"/>
        <v>2640.6350000000002</v>
      </c>
      <c r="R9" s="67">
        <f t="shared" si="9"/>
        <v>2640.6350000000002</v>
      </c>
      <c r="S9" s="67">
        <f t="shared" si="9"/>
        <v>2894</v>
      </c>
      <c r="T9" s="67">
        <f t="shared" si="9"/>
        <v>3426</v>
      </c>
      <c r="V9" s="96">
        <f t="shared" ref="V9:V11" si="14">+(T9/Q9)^(1/(YEAR(T$6)-YEAR(Q$6)))-1</f>
        <v>0.13904135353148828</v>
      </c>
      <c r="X9" s="19">
        <f t="shared" si="10"/>
        <v>0.45060738873015244</v>
      </c>
      <c r="Y9" s="19">
        <f t="shared" si="10"/>
        <v>0.45060738873015244</v>
      </c>
      <c r="Z9" s="19">
        <f t="shared" si="10"/>
        <v>0.43861776295847227</v>
      </c>
      <c r="AA9" s="19">
        <f t="shared" si="10"/>
        <v>0.45156188216686438</v>
      </c>
      <c r="AC9" s="67">
        <f t="shared" si="11"/>
        <v>2199.4100000000003</v>
      </c>
      <c r="AD9" s="67">
        <f t="shared" si="11"/>
        <v>2199.4100000000003</v>
      </c>
      <c r="AE9" s="67">
        <f t="shared" si="11"/>
        <v>2393</v>
      </c>
      <c r="AF9" s="67">
        <f t="shared" si="11"/>
        <v>2755</v>
      </c>
      <c r="AH9" s="96">
        <f t="shared" ref="AH9:AH11" si="15">+(AF9/AC9)^(1/(YEAR(AF$6)-YEAR(AC$6)))-1</f>
        <v>0.11920000631659411</v>
      </c>
      <c r="AJ9" s="31">
        <f t="shared" si="12"/>
        <v>0.37531517867747138</v>
      </c>
      <c r="AK9" s="31">
        <f t="shared" si="12"/>
        <v>0.37531517867747138</v>
      </c>
      <c r="AL9" s="31">
        <f t="shared" si="12"/>
        <v>0.36268566232191574</v>
      </c>
      <c r="AM9" s="31">
        <f t="shared" si="12"/>
        <v>0.36312112824568343</v>
      </c>
    </row>
    <row r="10" spans="1:40" x14ac:dyDescent="0.4">
      <c r="B10" s="109" t="s">
        <v>133</v>
      </c>
      <c r="C10" t="str">
        <f>+HLOOKUP($B10,INPUTS,MATCH(C$1,METRICS,0),FALSE)</f>
        <v>Hewlett Packard</v>
      </c>
      <c r="E10" s="67">
        <f t="shared" si="6"/>
        <v>28605.817789999997</v>
      </c>
      <c r="F10" s="67">
        <f t="shared" si="6"/>
        <v>20464.817789999997</v>
      </c>
      <c r="G10" s="69">
        <f t="shared" si="7"/>
        <v>15.11</v>
      </c>
      <c r="H10" s="90">
        <f>+HLOOKUP($B10,INPUTS,MATCH(H$1,METRICS,0),FALSE)/R10</f>
        <v>1.48748401242463</v>
      </c>
      <c r="J10" s="67">
        <f t="shared" si="8"/>
        <v>29188.166666666668</v>
      </c>
      <c r="K10" s="67">
        <f t="shared" si="8"/>
        <v>29135</v>
      </c>
      <c r="L10" s="67">
        <f t="shared" si="8"/>
        <v>29625</v>
      </c>
      <c r="M10" s="67">
        <f t="shared" si="8"/>
        <v>30648.333333333332</v>
      </c>
      <c r="O10" s="96">
        <f t="shared" si="13"/>
        <v>2.4707753873465688E-2</v>
      </c>
      <c r="Q10" s="67">
        <f t="shared" si="9"/>
        <v>5512.666666666667</v>
      </c>
      <c r="R10" s="67">
        <f t="shared" si="9"/>
        <v>5473</v>
      </c>
      <c r="S10" s="67">
        <f t="shared" si="9"/>
        <v>5766.333333333333</v>
      </c>
      <c r="T10" s="67">
        <f t="shared" si="9"/>
        <v>6065</v>
      </c>
      <c r="V10" s="96">
        <f t="shared" si="14"/>
        <v>4.8901088650364244E-2</v>
      </c>
      <c r="X10" s="19">
        <f t="shared" si="10"/>
        <v>0.1888664926996671</v>
      </c>
      <c r="Y10" s="19">
        <f t="shared" si="10"/>
        <v>0.18784966535095246</v>
      </c>
      <c r="Z10" s="19">
        <f t="shared" si="10"/>
        <v>0.19464416315049227</v>
      </c>
      <c r="AA10" s="19">
        <f t="shared" si="10"/>
        <v>0.1978900429604655</v>
      </c>
      <c r="AC10" s="67">
        <f t="shared" si="11"/>
        <v>2781.6666666666665</v>
      </c>
      <c r="AD10" s="67">
        <f t="shared" si="11"/>
        <v>2832</v>
      </c>
      <c r="AE10" s="67">
        <f t="shared" si="11"/>
        <v>2569.8333333333335</v>
      </c>
      <c r="AF10" s="67">
        <f t="shared" si="11"/>
        <v>2798.333333333333</v>
      </c>
      <c r="AH10" s="96">
        <f t="shared" si="15"/>
        <v>2.9913318386949328E-3</v>
      </c>
      <c r="AJ10" s="31">
        <f t="shared" si="12"/>
        <v>9.5301177988796823E-2</v>
      </c>
      <c r="AK10" s="31">
        <f t="shared" si="12"/>
        <v>9.7202677192380293E-2</v>
      </c>
      <c r="AL10" s="31">
        <f t="shared" si="12"/>
        <v>8.6745428973277083E-2</v>
      </c>
      <c r="AM10" s="31">
        <f t="shared" si="12"/>
        <v>9.1304584262330735E-2</v>
      </c>
    </row>
    <row r="11" spans="1:40" x14ac:dyDescent="0.4">
      <c r="B11" s="109" t="s">
        <v>131</v>
      </c>
      <c r="C11" t="str">
        <f>+HLOOKUP($B11,INPUTS,MATCH(C$1,METRICS,0),FALSE)</f>
        <v>Juniper Networks</v>
      </c>
      <c r="E11" s="67">
        <f t="shared" si="6"/>
        <v>13012.05186788</v>
      </c>
      <c r="F11" s="67">
        <f t="shared" si="6"/>
        <v>12719.55186788</v>
      </c>
      <c r="G11" s="69">
        <f t="shared" si="7"/>
        <v>37.18</v>
      </c>
      <c r="H11" s="90">
        <f>+HLOOKUP($B11,INPUTS,MATCH(H$1,METRICS,0),FALSE)/R11</f>
        <v>0.27433877321328087</v>
      </c>
      <c r="J11" s="67">
        <f t="shared" si="8"/>
        <v>5564.5</v>
      </c>
      <c r="K11" s="67">
        <f t="shared" si="8"/>
        <v>5564.5</v>
      </c>
      <c r="L11" s="67">
        <f t="shared" si="8"/>
        <v>5413</v>
      </c>
      <c r="M11" s="67">
        <f t="shared" si="8"/>
        <v>5640</v>
      </c>
      <c r="O11" s="96">
        <f t="shared" si="13"/>
        <v>6.7612205831208971E-3</v>
      </c>
      <c r="Q11" s="67">
        <f t="shared" si="9"/>
        <v>1066.1999999999998</v>
      </c>
      <c r="R11" s="67">
        <f t="shared" si="9"/>
        <v>1066.1999999999998</v>
      </c>
      <c r="S11" s="67">
        <f t="shared" si="9"/>
        <v>1100</v>
      </c>
      <c r="T11" s="67">
        <f t="shared" si="9"/>
        <v>1181</v>
      </c>
      <c r="V11" s="96">
        <f t="shared" si="14"/>
        <v>5.2460026103896551E-2</v>
      </c>
      <c r="X11" s="19">
        <f t="shared" si="10"/>
        <v>0.19160751190583158</v>
      </c>
      <c r="Y11" s="19">
        <f t="shared" si="10"/>
        <v>0.19160751190583158</v>
      </c>
      <c r="Z11" s="19">
        <f t="shared" si="10"/>
        <v>0.20321448365047109</v>
      </c>
      <c r="AA11" s="19">
        <f t="shared" si="10"/>
        <v>0.20939716312056739</v>
      </c>
      <c r="AC11" s="67">
        <f t="shared" si="11"/>
        <v>736.4</v>
      </c>
      <c r="AD11" s="67">
        <f t="shared" si="11"/>
        <v>736.4</v>
      </c>
      <c r="AE11" s="67">
        <f t="shared" si="11"/>
        <v>719</v>
      </c>
      <c r="AF11" s="67">
        <f t="shared" si="11"/>
        <v>796</v>
      </c>
      <c r="AH11" s="96">
        <f t="shared" si="15"/>
        <v>3.9679890567584586E-2</v>
      </c>
      <c r="AJ11" s="31">
        <f t="shared" si="12"/>
        <v>0.13233893431575164</v>
      </c>
      <c r="AK11" s="31">
        <f t="shared" si="12"/>
        <v>0.13233893431575164</v>
      </c>
      <c r="AL11" s="31">
        <f t="shared" si="12"/>
        <v>0.1328283761315352</v>
      </c>
      <c r="AM11" s="31">
        <f t="shared" si="12"/>
        <v>0.14113475177304965</v>
      </c>
    </row>
    <row r="12" spans="1:40" ht="6" customHeight="1" x14ac:dyDescent="0.4"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  <c r="AN12" s="18"/>
    </row>
    <row r="13" spans="1:40" s="70" customFormat="1" ht="15" customHeight="1" x14ac:dyDescent="0.4">
      <c r="B13" s="75" t="s">
        <v>209</v>
      </c>
      <c r="C13" s="76"/>
      <c r="D13" s="76"/>
      <c r="E13" s="76"/>
      <c r="F13" s="76"/>
      <c r="G13" s="76"/>
      <c r="H13" s="83">
        <f>+AVERAGE(H8:H11)</f>
        <v>-0.20396021291594951</v>
      </c>
      <c r="I13" s="76"/>
      <c r="J13" s="77"/>
      <c r="K13" s="77"/>
      <c r="L13" s="76"/>
      <c r="M13" s="76"/>
      <c r="N13" s="76"/>
      <c r="O13" s="92">
        <f>+AVERAGE(O8:O11)</f>
        <v>3.7887885248810205E-2</v>
      </c>
      <c r="P13" s="76"/>
      <c r="Q13" s="76"/>
      <c r="R13" s="76"/>
      <c r="S13" s="76"/>
      <c r="T13" s="76"/>
      <c r="U13" s="76"/>
      <c r="V13" s="92">
        <f>+AVERAGE(V8:V11)</f>
        <v>5.9879548976531471E-2</v>
      </c>
      <c r="W13" s="76"/>
      <c r="X13" s="92">
        <f>+AVERAGE(X8:X11)</f>
        <v>0.29670860527136961</v>
      </c>
      <c r="Y13" s="92">
        <f>+AVERAGE(Y8:Y11)</f>
        <v>0.29771759869799913</v>
      </c>
      <c r="Z13" s="92">
        <f t="shared" ref="Z13:AA13" si="16">+AVERAGE(Z8:Z11)</f>
        <v>0.30106288313547475</v>
      </c>
      <c r="AA13" s="92">
        <f t="shared" si="16"/>
        <v>0.30673178917596705</v>
      </c>
      <c r="AB13" s="76"/>
      <c r="AC13" s="76"/>
      <c r="AD13" s="76"/>
      <c r="AE13" s="76"/>
      <c r="AF13" s="76"/>
      <c r="AG13" s="76"/>
      <c r="AH13" s="92">
        <f>+AVERAGE(AH8:AH11)</f>
        <v>3.8862905531286712E-2</v>
      </c>
      <c r="AI13" s="76"/>
      <c r="AJ13" s="92">
        <f>+AVERAGE(AJ8:AJ11)</f>
        <v>0.2217246295999184</v>
      </c>
      <c r="AK13" s="92">
        <f>+AVERAGE(AK8:AK11)</f>
        <v>0.22484741614406301</v>
      </c>
      <c r="AL13" s="92">
        <f t="shared" ref="AL13:AM13" si="17">+AVERAGE(AL8:AL11)</f>
        <v>0.21798619601570382</v>
      </c>
      <c r="AM13" s="92">
        <f t="shared" si="17"/>
        <v>0.22152366992531219</v>
      </c>
      <c r="AN13" s="76"/>
    </row>
    <row r="14" spans="1:40" s="70" customFormat="1" ht="15" customHeight="1" x14ac:dyDescent="0.4">
      <c r="B14" s="75" t="s">
        <v>208</v>
      </c>
      <c r="C14" s="76"/>
      <c r="D14" s="76"/>
      <c r="E14" s="76"/>
      <c r="F14" s="76"/>
      <c r="G14" s="76"/>
      <c r="H14" s="83">
        <f>+MEDIAN(H8:H11)</f>
        <v>-0.20341172719481238</v>
      </c>
      <c r="I14" s="76"/>
      <c r="J14" s="76"/>
      <c r="K14" s="76"/>
      <c r="L14" s="76"/>
      <c r="M14" s="76"/>
      <c r="N14" s="76"/>
      <c r="O14" s="92">
        <f>+MEDIAN(O8:O11)</f>
        <v>1.5734487228293292E-2</v>
      </c>
      <c r="P14" s="76"/>
      <c r="Q14" s="76"/>
      <c r="R14" s="76"/>
      <c r="S14" s="76"/>
      <c r="T14" s="76"/>
      <c r="U14" s="76"/>
      <c r="V14" s="92">
        <f>+MEDIAN(V8:V11)</f>
        <v>5.0680557377130397E-2</v>
      </c>
      <c r="W14" s="76"/>
      <c r="X14" s="92">
        <f>+MEDIAN(X8:X11)</f>
        <v>0.27368026982782945</v>
      </c>
      <c r="Y14" s="92">
        <f>+MEDIAN(Y8:Y11)</f>
        <v>0.27620667035544577</v>
      </c>
      <c r="Z14" s="92">
        <f t="shared" ref="Z14:AA14" si="18">+MEDIAN(Z8:Z11)</f>
        <v>0.28549480321646725</v>
      </c>
      <c r="AA14" s="92">
        <f t="shared" si="18"/>
        <v>0.28873761578826923</v>
      </c>
      <c r="AB14" s="76"/>
      <c r="AC14" s="76"/>
      <c r="AD14" s="76"/>
      <c r="AE14" s="76"/>
      <c r="AF14" s="76"/>
      <c r="AG14" s="76"/>
      <c r="AH14" s="92">
        <f>+MEDIAN(AH8:AH11)</f>
        <v>2.1335611203139759E-2</v>
      </c>
      <c r="AI14" s="76"/>
      <c r="AJ14" s="92">
        <f>+MEDIAN(AJ8:AJ11)</f>
        <v>0.20814108086670269</v>
      </c>
      <c r="AK14" s="92">
        <f>+MEDIAN(AK8:AK11)</f>
        <v>0.2134359043532002</v>
      </c>
      <c r="AL14" s="92">
        <f t="shared" ref="AL14:AM14" si="19">+MEDIAN(AL8:AL11)</f>
        <v>0.21125684638381123</v>
      </c>
      <c r="AM14" s="92">
        <f t="shared" si="19"/>
        <v>0.21583448359661733</v>
      </c>
      <c r="AN14" s="76"/>
    </row>
    <row r="15" spans="1:40" s="70" customFormat="1" ht="15" customHeight="1" x14ac:dyDescent="0.4">
      <c r="B15" s="75" t="s">
        <v>207</v>
      </c>
      <c r="C15" s="76"/>
      <c r="D15" s="76"/>
      <c r="E15" s="76"/>
      <c r="F15" s="76"/>
      <c r="G15" s="76"/>
      <c r="H15" s="83">
        <f>+MAX(H8:H11)</f>
        <v>1.48748401242463</v>
      </c>
      <c r="I15" s="76"/>
      <c r="J15" s="76"/>
      <c r="K15" s="76"/>
      <c r="L15" s="76"/>
      <c r="M15" s="76"/>
      <c r="N15" s="76"/>
      <c r="O15" s="92">
        <f>+MAX(O8:O11)</f>
        <v>0.13783688668986671</v>
      </c>
      <c r="P15" s="76"/>
      <c r="Q15" s="76"/>
      <c r="R15" s="76"/>
      <c r="S15" s="76"/>
      <c r="T15" s="76"/>
      <c r="U15" s="76"/>
      <c r="V15" s="92">
        <f>+MAX(V8:V11)</f>
        <v>0.13904135353148828</v>
      </c>
      <c r="W15" s="76"/>
      <c r="X15" s="92">
        <f>+MAX(X8:X11)</f>
        <v>0.45060738873015244</v>
      </c>
      <c r="Y15" s="92">
        <f>+MAX(Y8:Y11)</f>
        <v>0.45060738873015244</v>
      </c>
      <c r="Z15" s="92">
        <f t="shared" ref="Z15:AA15" si="20">+MAX(Z8:Z11)</f>
        <v>0.43861776295847227</v>
      </c>
      <c r="AA15" s="92">
        <f t="shared" si="20"/>
        <v>0.45156188216686438</v>
      </c>
      <c r="AB15" s="76"/>
      <c r="AC15" s="76"/>
      <c r="AD15" s="76"/>
      <c r="AE15" s="76"/>
      <c r="AF15" s="76"/>
      <c r="AG15" s="76"/>
      <c r="AH15" s="92">
        <f>+MAX(AH8:AH11)</f>
        <v>0.11920000631659411</v>
      </c>
      <c r="AI15" s="76"/>
      <c r="AJ15" s="92">
        <f>+MAX(AJ8:AJ11)</f>
        <v>0.37531517867747138</v>
      </c>
      <c r="AK15" s="92">
        <f>+MAX(AK8:AK11)</f>
        <v>0.37531517867747138</v>
      </c>
      <c r="AL15" s="92">
        <f t="shared" ref="AL15:AM15" si="21">+MAX(AL8:AL11)</f>
        <v>0.36268566232191574</v>
      </c>
      <c r="AM15" s="92">
        <f t="shared" si="21"/>
        <v>0.36312112824568343</v>
      </c>
      <c r="AN15" s="76"/>
    </row>
    <row r="16" spans="1:40" s="70" customFormat="1" ht="15" customHeight="1" x14ac:dyDescent="0.4">
      <c r="B16" s="78" t="s">
        <v>206</v>
      </c>
      <c r="C16" s="79"/>
      <c r="D16" s="79"/>
      <c r="E16" s="79"/>
      <c r="F16" s="79"/>
      <c r="G16" s="79"/>
      <c r="H16" s="84">
        <f>+MIN(H8:H11)</f>
        <v>-1.8965014096988033</v>
      </c>
      <c r="I16" s="79"/>
      <c r="J16" s="79"/>
      <c r="K16" s="79"/>
      <c r="L16" s="79"/>
      <c r="M16" s="79"/>
      <c r="N16" s="79"/>
      <c r="O16" s="93">
        <f>+MIN(O8:O11)</f>
        <v>-1.7754320151212477E-2</v>
      </c>
      <c r="P16" s="79"/>
      <c r="Q16" s="79"/>
      <c r="R16" s="79"/>
      <c r="S16" s="79"/>
      <c r="T16" s="79"/>
      <c r="U16" s="79"/>
      <c r="V16" s="93">
        <f>+MIN(V8:V11)</f>
        <v>-8.842723796231855E-4</v>
      </c>
      <c r="W16" s="79"/>
      <c r="X16" s="93">
        <f>+MIN(X8:X11)</f>
        <v>0.1888664926996671</v>
      </c>
      <c r="Y16" s="93">
        <f>+MIN(Y8:Y11)</f>
        <v>0.18784966535095246</v>
      </c>
      <c r="Z16" s="93">
        <f t="shared" ref="Z16:AA16" si="22">+MIN(Z8:Z11)</f>
        <v>0.19464416315049227</v>
      </c>
      <c r="AA16" s="93">
        <f t="shared" si="22"/>
        <v>0.1978900429604655</v>
      </c>
      <c r="AB16" s="79"/>
      <c r="AC16" s="79"/>
      <c r="AD16" s="79"/>
      <c r="AE16" s="79"/>
      <c r="AF16" s="79"/>
      <c r="AG16" s="79"/>
      <c r="AH16" s="93">
        <f>+MIN(AH8:AH11)</f>
        <v>-6.4196065977267791E-3</v>
      </c>
      <c r="AI16" s="79"/>
      <c r="AJ16" s="93">
        <f>+MIN(AJ8:AJ11)</f>
        <v>9.5301177988796823E-2</v>
      </c>
      <c r="AK16" s="93">
        <f>+MIN(AK8:AK11)</f>
        <v>9.7202677192380293E-2</v>
      </c>
      <c r="AL16" s="93">
        <f t="shared" ref="AL16:AM16" si="23">+MIN(AL8:AL11)</f>
        <v>8.6745428973277083E-2</v>
      </c>
      <c r="AM16" s="93">
        <f t="shared" si="23"/>
        <v>9.1304584262330735E-2</v>
      </c>
      <c r="AN16" s="79"/>
    </row>
    <row r="18" spans="2:40" s="70" customFormat="1" ht="25.1" customHeight="1" x14ac:dyDescent="0.4">
      <c r="B18" s="71" t="s">
        <v>87</v>
      </c>
      <c r="C18" s="72" t="str">
        <f>+HLOOKUP($B18,INPUTS,MATCH(C$1,METRICS,0),FALSE)</f>
        <v>Extreme Networks</v>
      </c>
      <c r="D18" s="72"/>
      <c r="E18" s="74">
        <f>+HLOOKUP($B18,INPUTS,MATCH(E$1,METRICS,0),FALSE)</f>
        <v>1666.9838881800003</v>
      </c>
      <c r="F18" s="74">
        <f>+HLOOKUP($B18,INPUTS,MATCH(F$1,METRICS,0),FALSE)</f>
        <v>1696.1308881800003</v>
      </c>
      <c r="G18" s="73">
        <f>+HLOOKUP($B18,INPUTS,MATCH(G$1,METRICS,0),FALSE)</f>
        <v>12.38</v>
      </c>
      <c r="H18" s="86">
        <f>+HLOOKUP($B18,INPUTS,MATCH(H$1,METRICS,0),FALSE)/R18</f>
        <v>-0.12078353693911723</v>
      </c>
      <c r="I18" s="72"/>
      <c r="J18" s="74">
        <f>+HLOOKUP($B18,INPUTS,MATCH(J$1,METRICS,0),FALSE)</f>
        <v>1223.2269999999999</v>
      </c>
      <c r="K18" s="74">
        <f>+HLOOKUP($B18,INPUTS,MATCH(K$1,METRICS,0),FALSE)</f>
        <v>1345.9309999999998</v>
      </c>
      <c r="L18" s="74">
        <f>+HLOOKUP($B18,INPUTS,MATCH(L$1,METRICS,0),FALSE)</f>
        <v>1139</v>
      </c>
      <c r="M18" s="74">
        <f>+HLOOKUP($B18,INPUTS,MATCH(M$1,METRICS,0),FALSE)</f>
        <v>1192</v>
      </c>
      <c r="N18" s="72"/>
      <c r="O18" s="94">
        <f t="shared" ref="O18" si="24">+(M18/J18)^(1/(YEAR(M$6)-YEAR(J$6)))-1</f>
        <v>-1.2846707440894223E-2</v>
      </c>
      <c r="P18" s="72"/>
      <c r="Q18" s="74">
        <f>+HLOOKUP($B18,INPUTS,MATCH(Q$1,METRICS,0),FALSE)</f>
        <v>176.94699999999995</v>
      </c>
      <c r="R18" s="74">
        <f>+HLOOKUP($B18,INPUTS,MATCH(R$1,METRICS,0),FALSE)</f>
        <v>241.31599999999983</v>
      </c>
      <c r="S18" s="74">
        <f>+HLOOKUP($B18,INPUTS,MATCH(S$1,METRICS,0),FALSE)</f>
        <v>154.5</v>
      </c>
      <c r="T18" s="74">
        <f>+HLOOKUP($B18,INPUTS,MATCH(T$1,METRICS,0),FALSE)</f>
        <v>201.5</v>
      </c>
      <c r="U18" s="72"/>
      <c r="V18" s="94">
        <f t="shared" ref="V18" si="25">+(T18/Q18)^(1/(YEAR(T$6)-YEAR(Q$6)))-1</f>
        <v>6.7126545189640341E-2</v>
      </c>
      <c r="W18" s="72"/>
      <c r="X18" s="94">
        <f>+Q18/J18</f>
        <v>0.14465589788322197</v>
      </c>
      <c r="Y18" s="94">
        <f>+R18/K18</f>
        <v>0.17929299496036563</v>
      </c>
      <c r="Z18" s="94">
        <f t="shared" ref="Z18" si="26">+S18/L18</f>
        <v>0.1356453028972783</v>
      </c>
      <c r="AA18" s="94">
        <f t="shared" ref="AA18" si="27">+T18/M18</f>
        <v>0.16904362416107382</v>
      </c>
      <c r="AB18" s="72"/>
      <c r="AC18" s="74">
        <f>+HLOOKUP($B18,INPUTS,MATCH(AC$1,METRICS,0),FALSE)</f>
        <v>110.65249999999993</v>
      </c>
      <c r="AD18" s="74">
        <f>+HLOOKUP($B18,INPUTS,MATCH(AD$1,METRICS,0),FALSE)</f>
        <v>160.75299999999987</v>
      </c>
      <c r="AE18" s="74">
        <f>+HLOOKUP($B18,INPUTS,MATCH(AE$1,METRICS,0),FALSE)</f>
        <v>92</v>
      </c>
      <c r="AF18" s="74">
        <f>+HLOOKUP($B18,INPUTS,MATCH(AF$1,METRICS,0),FALSE)</f>
        <v>129</v>
      </c>
      <c r="AG18" s="72"/>
      <c r="AH18" s="94">
        <f t="shared" ref="AH18" si="28">+(AF18/AC18)^(1/(YEAR(AF$6)-YEAR(AC$6)))-1</f>
        <v>7.972769186034756E-2</v>
      </c>
      <c r="AI18" s="72"/>
      <c r="AJ18" s="94">
        <f>+AC18/J18</f>
        <v>9.0459497705658837E-2</v>
      </c>
      <c r="AK18" s="94">
        <f>+AD18/K18</f>
        <v>0.11943628610976335</v>
      </c>
      <c r="AL18" s="94">
        <f t="shared" ref="AL18" si="29">+AE18/L18</f>
        <v>8.0772607550482878E-2</v>
      </c>
      <c r="AM18" s="94">
        <f t="shared" ref="AM18" si="30">+AF18/M18</f>
        <v>0.10822147651006711</v>
      </c>
      <c r="AN18" s="72"/>
    </row>
    <row r="22" spans="2:40" x14ac:dyDescent="0.4">
      <c r="O22" s="95"/>
      <c r="V22" s="95"/>
      <c r="AH22" s="9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68F2B-C7C7-4458-8FF0-F6E7A4644BA5}">
  <sheetPr>
    <tabColor theme="5" tint="-0.249977111117893"/>
  </sheetPr>
  <dimension ref="A1:W45"/>
  <sheetViews>
    <sheetView showGridLines="0" zoomScale="115" zoomScaleNormal="115" workbookViewId="0"/>
  </sheetViews>
  <sheetFormatPr defaultRowHeight="12.7" outlineLevelRow="1" x14ac:dyDescent="0.4"/>
  <cols>
    <col min="1" max="1" width="0.76171875" customWidth="1"/>
    <col min="3" max="3" width="16.41015625" bestFit="1" customWidth="1"/>
    <col min="4" max="4" width="0.76171875" customWidth="1"/>
    <col min="5" max="6" width="11.41015625" bestFit="1" customWidth="1"/>
    <col min="7" max="7" width="10.64453125" customWidth="1"/>
    <col min="8" max="8" width="0.76171875" customWidth="1"/>
    <col min="9" max="11" width="10.76171875" customWidth="1"/>
    <col min="12" max="12" width="2.234375" customWidth="1"/>
    <col min="13" max="15" width="10.76171875" customWidth="1"/>
    <col min="16" max="16" width="2.234375" customWidth="1"/>
    <col min="17" max="19" width="10.76171875" customWidth="1"/>
    <col min="20" max="20" width="0.76171875" customWidth="1"/>
    <col min="21" max="21" width="2.234375" customWidth="1"/>
    <col min="22" max="22" width="12.76171875" customWidth="1"/>
  </cols>
  <sheetData>
    <row r="1" spans="1:23" outlineLevel="1" x14ac:dyDescent="0.4">
      <c r="C1" s="55"/>
      <c r="D1" s="55"/>
      <c r="E1" s="55"/>
      <c r="F1" s="55"/>
      <c r="G1" s="55"/>
      <c r="I1" s="55"/>
      <c r="J1" s="55"/>
      <c r="K1" s="55"/>
      <c r="M1" s="55"/>
      <c r="N1" s="55"/>
      <c r="O1" s="55"/>
      <c r="V1" s="109" t="s">
        <v>157</v>
      </c>
    </row>
    <row r="2" spans="1:23" ht="17.7" x14ac:dyDescent="0.55000000000000004">
      <c r="A2" s="3" t="s">
        <v>215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4">
      <c r="A3" s="4" t="s">
        <v>3</v>
      </c>
    </row>
    <row r="5" spans="1:23" s="5" customFormat="1" ht="15.7" x14ac:dyDescent="0.85">
      <c r="E5" s="58" t="s">
        <v>139</v>
      </c>
      <c r="F5" s="58" t="s">
        <v>141</v>
      </c>
      <c r="I5" s="59" t="s">
        <v>212</v>
      </c>
      <c r="J5" s="59"/>
      <c r="K5" s="59"/>
      <c r="M5" s="59" t="s">
        <v>211</v>
      </c>
      <c r="N5" s="59"/>
      <c r="O5" s="59"/>
      <c r="Q5" s="59" t="s">
        <v>213</v>
      </c>
      <c r="R5" s="59"/>
      <c r="S5" s="59"/>
      <c r="V5" s="59" t="s">
        <v>237</v>
      </c>
      <c r="W5" s="59"/>
    </row>
    <row r="6" spans="1:23" s="5" customFormat="1" x14ac:dyDescent="0.4">
      <c r="B6" s="17" t="s">
        <v>4</v>
      </c>
      <c r="C6" s="17" t="s">
        <v>137</v>
      </c>
      <c r="D6" s="17"/>
      <c r="E6" s="60" t="s">
        <v>140</v>
      </c>
      <c r="F6" s="60" t="s">
        <v>142</v>
      </c>
      <c r="G6" s="60" t="s">
        <v>138</v>
      </c>
      <c r="H6" s="17"/>
      <c r="I6" s="80" t="s">
        <v>143</v>
      </c>
      <c r="J6" s="81">
        <f>+'Operating Metrics'!L6</f>
        <v>45657</v>
      </c>
      <c r="K6" s="62">
        <f>+EOMONTH(J6,12)</f>
        <v>46022</v>
      </c>
      <c r="L6" s="17"/>
      <c r="M6" s="63" t="str">
        <f>+I6</f>
        <v>LTM</v>
      </c>
      <c r="N6" s="64">
        <f t="shared" ref="N6:O6" si="0">+J6</f>
        <v>45657</v>
      </c>
      <c r="O6" s="64">
        <f t="shared" si="0"/>
        <v>46022</v>
      </c>
      <c r="P6" s="17"/>
      <c r="Q6" s="63" t="str">
        <f>+M6</f>
        <v>LTM</v>
      </c>
      <c r="R6" s="64">
        <f t="shared" ref="R6:S6" si="1">+N6</f>
        <v>45657</v>
      </c>
      <c r="S6" s="64">
        <f t="shared" si="1"/>
        <v>46022</v>
      </c>
      <c r="T6" s="65"/>
      <c r="V6" s="17" t="s">
        <v>216</v>
      </c>
      <c r="W6" s="17" t="s">
        <v>220</v>
      </c>
    </row>
    <row r="7" spans="1:23" ht="6" customHeight="1" x14ac:dyDescent="0.4">
      <c r="T7" s="57"/>
    </row>
    <row r="8" spans="1:23" ht="13.2" customHeight="1" x14ac:dyDescent="0.4">
      <c r="B8" s="109" t="s">
        <v>135</v>
      </c>
      <c r="C8" t="str">
        <f>+'Operating Metrics'!C8</f>
        <v>Cisco Systems</v>
      </c>
      <c r="E8" s="68">
        <f>+'Operating Metrics'!E8</f>
        <v>190226.80072879998</v>
      </c>
      <c r="F8" s="68">
        <f>+'Operating Metrics'!F8</f>
        <v>204292.80072879998</v>
      </c>
      <c r="G8" s="66">
        <f>+'Operating Metrics'!G8</f>
        <v>48.86</v>
      </c>
      <c r="I8" s="82">
        <f>+$E8/'Operating Metrics'!K8</f>
        <v>3.3237258352488945</v>
      </c>
      <c r="J8" s="82">
        <f>+$E8/'Operating Metrics'!L8</f>
        <v>3.6387949684226291</v>
      </c>
      <c r="K8" s="82">
        <f>+$E8/'Operating Metrics'!M8</f>
        <v>3.5853965758594688</v>
      </c>
      <c r="M8" s="82">
        <f>+$E8/'Operating Metrics'!R8</f>
        <v>9.2119516091428562</v>
      </c>
      <c r="N8" s="82">
        <f>+$E8/'Operating Metrics'!S8</f>
        <v>9.8940758713986021</v>
      </c>
      <c r="O8" s="82">
        <f>+$E8/'Operating Metrics'!T8</f>
        <v>9.7408590272700497</v>
      </c>
      <c r="Q8" s="82">
        <f>+$F8/'Operating Metrics'!AD8</f>
        <v>12.119167154819955</v>
      </c>
      <c r="R8" s="82">
        <f>+$F8/'Operating Metrics'!AE8</f>
        <v>13.490015895985207</v>
      </c>
      <c r="S8" s="82">
        <f>+$F8/'Operating Metrics'!AF8</f>
        <v>13.253215887258277</v>
      </c>
      <c r="V8" s="66">
        <f t="shared" ref="V8:V11" si="2">+HLOOKUP($B8,INPUTS,MATCH(V$1,METRICS,0),FALSE)</f>
        <v>4.1232354159535394</v>
      </c>
      <c r="W8" s="82">
        <f>+G8/V8</f>
        <v>11.849917618322706</v>
      </c>
    </row>
    <row r="9" spans="1:23" x14ac:dyDescent="0.4">
      <c r="B9" s="109" t="s">
        <v>134</v>
      </c>
      <c r="C9" t="str">
        <f>+'Operating Metrics'!C9</f>
        <v>Arista Networks</v>
      </c>
      <c r="E9" s="67">
        <f>+'Operating Metrics'!E9</f>
        <v>81394.976897920016</v>
      </c>
      <c r="F9" s="67">
        <f>+'Operating Metrics'!F9</f>
        <v>86402.94489792001</v>
      </c>
      <c r="G9" s="69">
        <f>+'Operating Metrics'!G9</f>
        <v>267.66000000000003</v>
      </c>
      <c r="I9" s="82">
        <f>+$E9/'Operating Metrics'!K9</f>
        <v>13.889529600161636</v>
      </c>
      <c r="J9" s="82">
        <f>+$E9/'Operating Metrics'!L9</f>
        <v>12.336310533179754</v>
      </c>
      <c r="K9" s="82">
        <f>+$E9/'Operating Metrics'!M9</f>
        <v>10.72821627756953</v>
      </c>
      <c r="M9" s="82">
        <f>+$E9/'Operating Metrics'!R9</f>
        <v>30.824016533114197</v>
      </c>
      <c r="N9" s="82">
        <f>+$E9/'Operating Metrics'!S9</f>
        <v>28.125423945376646</v>
      </c>
      <c r="O9" s="82">
        <f>+$E9/'Operating Metrics'!T9</f>
        <v>23.758020110309403</v>
      </c>
      <c r="Q9" s="82">
        <f>+$F9/'Operating Metrics'!AD9</f>
        <v>39.284601278488324</v>
      </c>
      <c r="R9" s="82">
        <f>+$F9/'Operating Metrics'!AE9</f>
        <v>36.106537775979945</v>
      </c>
      <c r="S9" s="82">
        <f>+$F9/'Operating Metrics'!AF9</f>
        <v>31.36223045296552</v>
      </c>
      <c r="V9" s="66">
        <f t="shared" si="2"/>
        <v>6.9352483957935904</v>
      </c>
      <c r="W9" s="82">
        <f>+G9/V9</f>
        <v>38.594147566847468</v>
      </c>
    </row>
    <row r="10" spans="1:23" x14ac:dyDescent="0.4">
      <c r="B10" s="109" t="s">
        <v>133</v>
      </c>
      <c r="C10" t="str">
        <f>+'Operating Metrics'!C10</f>
        <v>Hewlett Packard</v>
      </c>
      <c r="E10" s="67">
        <f>+'Operating Metrics'!E10</f>
        <v>28605.817789999997</v>
      </c>
      <c r="F10" s="67">
        <f>+'Operating Metrics'!F10</f>
        <v>20464.817789999997</v>
      </c>
      <c r="G10" s="69">
        <f>+'Operating Metrics'!G10</f>
        <v>15.11</v>
      </c>
      <c r="I10" s="82">
        <f>+$E10/'Operating Metrics'!K10</f>
        <v>0.98183688999485141</v>
      </c>
      <c r="J10" s="82">
        <f>+$E10/'Operating Metrics'!L10</f>
        <v>0.96559722497890288</v>
      </c>
      <c r="K10" s="82">
        <f>+$E10/'Operating Metrics'!M10</f>
        <v>0.93335639099461631</v>
      </c>
      <c r="M10" s="82">
        <f>+$E10/'Operating Metrics'!R10</f>
        <v>5.2267162050063947</v>
      </c>
      <c r="N10" s="82">
        <f>+$E10/'Operating Metrics'!S10</f>
        <v>4.960833190935892</v>
      </c>
      <c r="O10" s="82">
        <f>+$E10/'Operating Metrics'!T10</f>
        <v>4.7165404435284417</v>
      </c>
      <c r="Q10" s="82">
        <f>+$F10/'Operating Metrics'!AD10</f>
        <v>7.2262774682203377</v>
      </c>
      <c r="R10" s="82">
        <f>+$F10/'Operating Metrics'!AE10</f>
        <v>7.9634805590505202</v>
      </c>
      <c r="S10" s="82">
        <f>+$F10/'Operating Metrics'!AF10</f>
        <v>7.3132166015485405</v>
      </c>
      <c r="V10" s="66">
        <f t="shared" si="2"/>
        <v>2.1519756838905777</v>
      </c>
      <c r="W10" s="82">
        <f>+G10/V10</f>
        <v>7.0214548022598864</v>
      </c>
    </row>
    <row r="11" spans="1:23" x14ac:dyDescent="0.4">
      <c r="B11" s="109" t="s">
        <v>131</v>
      </c>
      <c r="C11" t="str">
        <f>+'Operating Metrics'!C11</f>
        <v>Juniper Networks</v>
      </c>
      <c r="E11" s="67">
        <f>+'Operating Metrics'!E11</f>
        <v>13012.05186788</v>
      </c>
      <c r="F11" s="67">
        <f>+'Operating Metrics'!F11</f>
        <v>12719.55186788</v>
      </c>
      <c r="G11" s="69">
        <f>+'Operating Metrics'!G11</f>
        <v>37.18</v>
      </c>
      <c r="I11" s="82">
        <f>+$E11/'Operating Metrics'!K11</f>
        <v>2.3384045049654056</v>
      </c>
      <c r="J11" s="82">
        <f>+$E11/'Operating Metrics'!L11</f>
        <v>2.4038521832403474</v>
      </c>
      <c r="K11" s="82">
        <f>+$E11/'Operating Metrics'!M11</f>
        <v>2.3071013950141843</v>
      </c>
      <c r="M11" s="82">
        <f>+$E11/'Operating Metrics'!R11</f>
        <v>12.204137936484715</v>
      </c>
      <c r="N11" s="82">
        <f>+$E11/'Operating Metrics'!S11</f>
        <v>11.829138061709092</v>
      </c>
      <c r="O11" s="82">
        <f>+$E11/'Operating Metrics'!T11</f>
        <v>11.017825459678239</v>
      </c>
      <c r="Q11" s="82">
        <f>+$F11/'Operating Metrics'!AD11</f>
        <v>17.27261253107007</v>
      </c>
      <c r="R11" s="82">
        <f>+$F11/'Operating Metrics'!AE11</f>
        <v>17.690614558942976</v>
      </c>
      <c r="S11" s="82">
        <f>+$F11/'Operating Metrics'!AF11</f>
        <v>15.979336517437186</v>
      </c>
      <c r="V11" s="66">
        <f t="shared" si="2"/>
        <v>2.2595888309297329</v>
      </c>
      <c r="W11" s="82">
        <f>+G11/V11</f>
        <v>16.454321021184139</v>
      </c>
    </row>
    <row r="12" spans="1:23" ht="6" customHeight="1" x14ac:dyDescent="0.4"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V12" s="87"/>
    </row>
    <row r="13" spans="1:23" s="70" customFormat="1" ht="15" customHeight="1" x14ac:dyDescent="0.4">
      <c r="B13" s="75" t="s">
        <v>209</v>
      </c>
      <c r="C13" s="76"/>
      <c r="D13" s="76"/>
      <c r="E13" s="76"/>
      <c r="F13" s="76"/>
      <c r="G13" s="76"/>
      <c r="H13" s="76"/>
      <c r="I13" s="83">
        <f>+AVERAGE(I8:I11)</f>
        <v>5.1333742075926976</v>
      </c>
      <c r="J13" s="83">
        <f t="shared" ref="J13:K13" si="3">+AVERAGE(J8:J11)</f>
        <v>4.836138727455408</v>
      </c>
      <c r="K13" s="83">
        <f t="shared" si="3"/>
        <v>4.38851765985945</v>
      </c>
      <c r="L13" s="76"/>
      <c r="M13" s="83">
        <f>+AVERAGE(M8:M11)</f>
        <v>14.366705570937041</v>
      </c>
      <c r="N13" s="83">
        <f t="shared" ref="N13:O13" si="4">+AVERAGE(N8:N11)</f>
        <v>13.70236776735506</v>
      </c>
      <c r="O13" s="83">
        <f t="shared" si="4"/>
        <v>12.308311260196533</v>
      </c>
      <c r="P13" s="76"/>
      <c r="Q13" s="83">
        <f>+AVERAGE(Q8:Q11)</f>
        <v>18.975664608149671</v>
      </c>
      <c r="R13" s="83">
        <f t="shared" ref="R13:S13" si="5">+AVERAGE(R8:R11)</f>
        <v>18.812662197489665</v>
      </c>
      <c r="S13" s="83">
        <f t="shared" si="5"/>
        <v>16.97699986480238</v>
      </c>
      <c r="T13" s="76"/>
      <c r="V13" s="88"/>
    </row>
    <row r="14" spans="1:23" s="70" customFormat="1" ht="15" customHeight="1" x14ac:dyDescent="0.4">
      <c r="B14" s="75" t="s">
        <v>208</v>
      </c>
      <c r="C14" s="76"/>
      <c r="D14" s="76"/>
      <c r="E14" s="76"/>
      <c r="F14" s="76"/>
      <c r="G14" s="76"/>
      <c r="H14" s="76"/>
      <c r="I14" s="83">
        <f>+MEDIAN(I8:I11)</f>
        <v>2.8310651701071503</v>
      </c>
      <c r="J14" s="83">
        <f t="shared" ref="J14:K14" si="6">+MEDIAN(J8:J11)</f>
        <v>3.021323575831488</v>
      </c>
      <c r="K14" s="83">
        <f t="shared" si="6"/>
        <v>2.9462489854368266</v>
      </c>
      <c r="L14" s="76"/>
      <c r="M14" s="83">
        <f>+MEDIAN(M8:M11)</f>
        <v>10.708044772813786</v>
      </c>
      <c r="N14" s="83">
        <f t="shared" ref="N14:O14" si="7">+MEDIAN(N8:N11)</f>
        <v>10.861606966553847</v>
      </c>
      <c r="O14" s="83">
        <f t="shared" si="7"/>
        <v>10.379342243474145</v>
      </c>
      <c r="P14" s="76"/>
      <c r="Q14" s="83">
        <f>+MEDIAN(Q8:Q11)</f>
        <v>14.695889842945013</v>
      </c>
      <c r="R14" s="83">
        <f t="shared" ref="R14:S14" si="8">+MEDIAN(R8:R11)</f>
        <v>15.590315227464092</v>
      </c>
      <c r="S14" s="83">
        <f t="shared" si="8"/>
        <v>14.616276202347731</v>
      </c>
      <c r="T14" s="76"/>
      <c r="V14" s="88"/>
    </row>
    <row r="15" spans="1:23" s="70" customFormat="1" ht="15" customHeight="1" x14ac:dyDescent="0.4">
      <c r="B15" s="75" t="s">
        <v>207</v>
      </c>
      <c r="C15" s="76"/>
      <c r="D15" s="76"/>
      <c r="E15" s="76"/>
      <c r="F15" s="76"/>
      <c r="G15" s="76"/>
      <c r="H15" s="76"/>
      <c r="I15" s="83">
        <f>+MAX(I8:I11)</f>
        <v>13.889529600161636</v>
      </c>
      <c r="J15" s="83">
        <f t="shared" ref="J15:K15" si="9">+MAX(J8:J11)</f>
        <v>12.336310533179754</v>
      </c>
      <c r="K15" s="83">
        <f t="shared" si="9"/>
        <v>10.72821627756953</v>
      </c>
      <c r="L15" s="76"/>
      <c r="M15" s="83">
        <f>+MAX(M8:M11)</f>
        <v>30.824016533114197</v>
      </c>
      <c r="N15" s="83">
        <f t="shared" ref="N15:O15" si="10">+MAX(N8:N11)</f>
        <v>28.125423945376646</v>
      </c>
      <c r="O15" s="83">
        <f t="shared" si="10"/>
        <v>23.758020110309403</v>
      </c>
      <c r="P15" s="76"/>
      <c r="Q15" s="83">
        <f>+MAX(Q8:Q11)</f>
        <v>39.284601278488324</v>
      </c>
      <c r="R15" s="83">
        <f t="shared" ref="R15:S15" si="11">+MAX(R8:R11)</f>
        <v>36.106537775979945</v>
      </c>
      <c r="S15" s="83">
        <f t="shared" si="11"/>
        <v>31.36223045296552</v>
      </c>
      <c r="T15" s="76"/>
      <c r="V15" s="88"/>
    </row>
    <row r="16" spans="1:23" s="70" customFormat="1" ht="15" customHeight="1" x14ac:dyDescent="0.4">
      <c r="B16" s="78" t="s">
        <v>206</v>
      </c>
      <c r="C16" s="79"/>
      <c r="D16" s="79"/>
      <c r="E16" s="79"/>
      <c r="F16" s="79"/>
      <c r="G16" s="79"/>
      <c r="H16" s="79"/>
      <c r="I16" s="84">
        <f>+MIN(I8:I11)</f>
        <v>0.98183688999485141</v>
      </c>
      <c r="J16" s="84">
        <f t="shared" ref="J16:K16" si="12">+MIN(J8:J11)</f>
        <v>0.96559722497890288</v>
      </c>
      <c r="K16" s="84">
        <f t="shared" si="12"/>
        <v>0.93335639099461631</v>
      </c>
      <c r="L16" s="79"/>
      <c r="M16" s="84">
        <f>+MIN(M8:M11)</f>
        <v>5.2267162050063947</v>
      </c>
      <c r="N16" s="84">
        <f t="shared" ref="N16:O16" si="13">+MIN(N8:N11)</f>
        <v>4.960833190935892</v>
      </c>
      <c r="O16" s="84">
        <f t="shared" si="13"/>
        <v>4.7165404435284417</v>
      </c>
      <c r="P16" s="79"/>
      <c r="Q16" s="84">
        <f>+MIN(Q8:Q11)</f>
        <v>7.2262774682203377</v>
      </c>
      <c r="R16" s="84">
        <f t="shared" ref="R16:S16" si="14">+MIN(R8:R11)</f>
        <v>7.9634805590505202</v>
      </c>
      <c r="S16" s="84">
        <f t="shared" si="14"/>
        <v>7.3132166015485405</v>
      </c>
      <c r="T16" s="79"/>
      <c r="V16" s="88"/>
    </row>
    <row r="17" spans="2:23" x14ac:dyDescent="0.4">
      <c r="V17" s="87"/>
    </row>
    <row r="18" spans="2:23" s="70" customFormat="1" ht="25.1" customHeight="1" x14ac:dyDescent="0.4">
      <c r="B18" s="71" t="s">
        <v>87</v>
      </c>
      <c r="C18" s="72" t="str">
        <f>+'Operating Metrics'!C18</f>
        <v>Extreme Networks</v>
      </c>
      <c r="D18" s="72"/>
      <c r="E18" s="74">
        <f>+'Operating Metrics'!E18</f>
        <v>1666.9838881800003</v>
      </c>
      <c r="F18" s="74">
        <f>+'Operating Metrics'!F18</f>
        <v>1696.1308881800003</v>
      </c>
      <c r="G18" s="73">
        <f>+'Operating Metrics'!G18</f>
        <v>12.38</v>
      </c>
      <c r="H18" s="72"/>
      <c r="I18" s="85">
        <f>+$E18/'Operating Metrics'!K18</f>
        <v>1.2385359191370142</v>
      </c>
      <c r="J18" s="85">
        <f>+$E18/'Operating Metrics'!L18</f>
        <v>1.4635503847058826</v>
      </c>
      <c r="K18" s="85">
        <f>+$E18/'Operating Metrics'!M18</f>
        <v>1.3984764162583896</v>
      </c>
      <c r="L18" s="86"/>
      <c r="M18" s="85">
        <f>+$E18/'Operating Metrics'!R18</f>
        <v>6.9078879484990701</v>
      </c>
      <c r="N18" s="85">
        <f>+$E18/'Operating Metrics'!S18</f>
        <v>10.78953972932039</v>
      </c>
      <c r="O18" s="85">
        <f>+$E18/'Operating Metrics'!T18</f>
        <v>8.2728728941935508</v>
      </c>
      <c r="P18" s="86"/>
      <c r="Q18" s="86">
        <f>+$F18/'Operating Metrics'!AD18</f>
        <v>10.551161646625578</v>
      </c>
      <c r="R18" s="86">
        <f>+$F18/'Operating Metrics'!AE18</f>
        <v>18.436205306304352</v>
      </c>
      <c r="S18" s="86">
        <f>+$F18/'Operating Metrics'!AF18</f>
        <v>13.148301458759692</v>
      </c>
      <c r="T18" s="72"/>
      <c r="V18" s="89">
        <f>+HLOOKUP($B18,INPUTS,MATCH(V$1,METRICS,0),FALSE)</f>
        <v>1.2072475544694465</v>
      </c>
      <c r="W18" s="97">
        <f>+G18/V18</f>
        <v>10.254731893361079</v>
      </c>
    </row>
    <row r="22" spans="2:23" ht="15.7" x14ac:dyDescent="0.85">
      <c r="B22" s="98" t="s">
        <v>221</v>
      </c>
      <c r="C22" s="98"/>
    </row>
    <row r="23" spans="2:23" x14ac:dyDescent="0.4">
      <c r="B23" t="str">
        <f>C18</f>
        <v>Extreme Networks</v>
      </c>
      <c r="C23" s="90">
        <f>J18</f>
        <v>1.4635503847058826</v>
      </c>
    </row>
    <row r="24" spans="2:23" x14ac:dyDescent="0.4">
      <c r="B24" t="str">
        <f>C9</f>
        <v>Arista Networks</v>
      </c>
      <c r="C24" s="90">
        <f>J9</f>
        <v>12.336310533179754</v>
      </c>
    </row>
    <row r="25" spans="2:23" x14ac:dyDescent="0.4">
      <c r="B25" t="str">
        <f>C8</f>
        <v>Cisco Systems</v>
      </c>
      <c r="C25" s="90">
        <f>J8</f>
        <v>3.6387949684226291</v>
      </c>
    </row>
    <row r="26" spans="2:23" x14ac:dyDescent="0.4">
      <c r="B26" t="str">
        <f>C11</f>
        <v>Juniper Networks</v>
      </c>
      <c r="C26" s="90">
        <f>J11</f>
        <v>2.4038521832403474</v>
      </c>
    </row>
    <row r="27" spans="2:23" x14ac:dyDescent="0.4">
      <c r="B27" t="str">
        <f>C10</f>
        <v>Hewlett Packard</v>
      </c>
      <c r="C27" s="90">
        <f>J10</f>
        <v>0.96559722497890288</v>
      </c>
    </row>
    <row r="29" spans="2:23" x14ac:dyDescent="0.4">
      <c r="C29" s="90"/>
    </row>
    <row r="30" spans="2:23" x14ac:dyDescent="0.4">
      <c r="C30" s="90"/>
    </row>
    <row r="40" spans="2:3" ht="15.7" x14ac:dyDescent="0.85">
      <c r="B40" s="98" t="s">
        <v>222</v>
      </c>
      <c r="C40" s="98"/>
    </row>
    <row r="41" spans="2:3" x14ac:dyDescent="0.4">
      <c r="B41" t="str">
        <f>C18</f>
        <v>Extreme Networks</v>
      </c>
      <c r="C41" s="90">
        <f>N18</f>
        <v>10.78953972932039</v>
      </c>
    </row>
    <row r="42" spans="2:3" x14ac:dyDescent="0.4">
      <c r="B42" t="str">
        <f>C9</f>
        <v>Arista Networks</v>
      </c>
      <c r="C42" s="90">
        <f>N9</f>
        <v>28.125423945376646</v>
      </c>
    </row>
    <row r="43" spans="2:3" x14ac:dyDescent="0.4">
      <c r="B43" t="str">
        <f>C11</f>
        <v>Juniper Networks</v>
      </c>
      <c r="C43" s="90">
        <f>N11</f>
        <v>11.829138061709092</v>
      </c>
    </row>
    <row r="44" spans="2:3" x14ac:dyDescent="0.4">
      <c r="B44" t="str">
        <f>C8</f>
        <v>Cisco Systems</v>
      </c>
      <c r="C44" s="90">
        <f>N8</f>
        <v>9.8940758713986021</v>
      </c>
    </row>
    <row r="45" spans="2:3" x14ac:dyDescent="0.4">
      <c r="B45" t="str">
        <f>C10</f>
        <v>Hewlett Packard</v>
      </c>
      <c r="C45" s="90">
        <f>N10</f>
        <v>4.960833190935892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874DF-8A8F-4B35-B559-ADA6D4AE3177}">
  <sheetPr>
    <tabColor theme="5" tint="-0.249977111117893"/>
  </sheetPr>
  <dimension ref="B2:K19"/>
  <sheetViews>
    <sheetView showGridLines="0" zoomScale="85" zoomScaleNormal="85" workbookViewId="0"/>
  </sheetViews>
  <sheetFormatPr defaultRowHeight="12.7" x14ac:dyDescent="0.4"/>
  <cols>
    <col min="1" max="1" width="2.234375" customWidth="1"/>
    <col min="2" max="2" width="31.3515625" bestFit="1" customWidth="1"/>
  </cols>
  <sheetData>
    <row r="2" spans="2:11" ht="15.7" x14ac:dyDescent="0.85">
      <c r="B2" s="125" t="s">
        <v>87</v>
      </c>
      <c r="C2" s="110" t="s">
        <v>227</v>
      </c>
      <c r="D2" s="110"/>
      <c r="E2" s="110"/>
      <c r="F2" s="111"/>
      <c r="G2" s="111"/>
      <c r="H2" s="111"/>
      <c r="I2" s="111"/>
    </row>
    <row r="3" spans="2:11" ht="15.7" x14ac:dyDescent="0.85">
      <c r="C3" s="59" t="str">
        <f>'Valuation Metrics'!B22</f>
        <v>2024E EV / Revenue</v>
      </c>
      <c r="D3" s="59"/>
      <c r="E3" s="59"/>
      <c r="G3" s="59" t="str">
        <f>'Valuation Metrics'!B40</f>
        <v>2024E EV / EBITDA</v>
      </c>
      <c r="H3" s="59"/>
      <c r="I3" s="59"/>
    </row>
    <row r="4" spans="2:11" x14ac:dyDescent="0.4">
      <c r="C4" s="99" t="s">
        <v>224</v>
      </c>
      <c r="E4" s="99" t="s">
        <v>225</v>
      </c>
      <c r="G4" s="99" t="s">
        <v>224</v>
      </c>
      <c r="I4" s="99" t="s">
        <v>225</v>
      </c>
    </row>
    <row r="5" spans="2:11" x14ac:dyDescent="0.4">
      <c r="C5" s="100">
        <v>2</v>
      </c>
      <c r="E5" s="100">
        <v>3</v>
      </c>
      <c r="G5" s="100">
        <v>11</v>
      </c>
      <c r="I5" s="100">
        <v>15</v>
      </c>
    </row>
    <row r="6" spans="2:11" x14ac:dyDescent="0.4">
      <c r="B6" s="101" t="s">
        <v>228</v>
      </c>
      <c r="C6" s="102">
        <f>'Operating Metrics'!L18</f>
        <v>1139</v>
      </c>
      <c r="E6" s="102">
        <f>'Operating Metrics'!L18</f>
        <v>1139</v>
      </c>
      <c r="G6" s="102">
        <f>'Operating Metrics'!S18</f>
        <v>154.5</v>
      </c>
      <c r="I6" s="102">
        <f>'Operating Metrics'!S18</f>
        <v>154.5</v>
      </c>
    </row>
    <row r="7" spans="2:11" s="5" customFormat="1" x14ac:dyDescent="0.4">
      <c r="B7" s="103" t="s">
        <v>229</v>
      </c>
      <c r="C7" s="105">
        <f>C5*C6</f>
        <v>2278</v>
      </c>
      <c r="D7" s="104"/>
      <c r="E7" s="105">
        <f>E5*E6</f>
        <v>3417</v>
      </c>
      <c r="G7" s="105">
        <f>G5*G6</f>
        <v>1699.5</v>
      </c>
      <c r="H7" s="104"/>
      <c r="I7" s="105">
        <f>I5*I6</f>
        <v>2317.5</v>
      </c>
    </row>
    <row r="8" spans="2:11" x14ac:dyDescent="0.4">
      <c r="B8" s="101" t="s">
        <v>230</v>
      </c>
      <c r="C8" s="67">
        <f>+HLOOKUP($B2,INPUTS,MATCH($K$8,METRICS,0),FALSE)</f>
        <v>-29.146999999999991</v>
      </c>
      <c r="E8" s="67">
        <f>+HLOOKUP($B2,INPUTS,MATCH($K$8,METRICS,0),FALSE)</f>
        <v>-29.146999999999991</v>
      </c>
      <c r="G8" s="67">
        <f>+HLOOKUP($B2,INPUTS,MATCH($K$8,METRICS,0),FALSE)</f>
        <v>-29.146999999999991</v>
      </c>
      <c r="I8" s="67">
        <f>+HLOOKUP($B2,INPUTS,MATCH($K$8,METRICS,0),FALSE)</f>
        <v>-29.146999999999991</v>
      </c>
      <c r="K8" s="106" t="s">
        <v>169</v>
      </c>
    </row>
    <row r="9" spans="2:11" s="5" customFormat="1" x14ac:dyDescent="0.4">
      <c r="B9" s="103" t="s">
        <v>231</v>
      </c>
      <c r="C9" s="105">
        <f>C7+C8</f>
        <v>2248.8530000000001</v>
      </c>
      <c r="D9" s="57"/>
      <c r="E9" s="105">
        <f>E7+E8</f>
        <v>3387.8530000000001</v>
      </c>
      <c r="G9" s="105">
        <f>G7+G8</f>
        <v>1670.3530000000001</v>
      </c>
      <c r="H9" s="57"/>
      <c r="I9" s="105">
        <f>I7+I8</f>
        <v>2288.3530000000001</v>
      </c>
    </row>
    <row r="10" spans="2:11" x14ac:dyDescent="0.4">
      <c r="B10" s="101" t="s">
        <v>147</v>
      </c>
      <c r="C10" s="107">
        <f>+HLOOKUP($B2,INPUTS,MATCH($K$10,METRICS,0),FALSE)</f>
        <v>137.00572602423264</v>
      </c>
      <c r="D10" s="34"/>
      <c r="E10" s="107">
        <f>+HLOOKUP($B2,INPUTS,MATCH($K$10,METRICS,0),FALSE)</f>
        <v>137.00572602423264</v>
      </c>
      <c r="G10" s="107">
        <f>+HLOOKUP($B2,INPUTS,MATCH($K$10,METRICS,0),FALSE)</f>
        <v>137.00572602423264</v>
      </c>
      <c r="H10" s="34"/>
      <c r="I10" s="107">
        <f>+HLOOKUP($B2,INPUTS,MATCH($K$10,METRICS,0),FALSE)</f>
        <v>137.00572602423264</v>
      </c>
      <c r="K10" s="106" t="s">
        <v>147</v>
      </c>
    </row>
    <row r="11" spans="2:11" s="5" customFormat="1" x14ac:dyDescent="0.4">
      <c r="B11" s="103" t="s">
        <v>109</v>
      </c>
      <c r="C11" s="108">
        <f>C9/C10</f>
        <v>16.414299352730982</v>
      </c>
      <c r="D11" s="104"/>
      <c r="E11" s="108">
        <f>E9/E10</f>
        <v>24.727820495624975</v>
      </c>
      <c r="G11" s="108">
        <f>G9/G10</f>
        <v>12.191848096221609</v>
      </c>
      <c r="H11" s="104"/>
      <c r="I11" s="108">
        <f>I9/I10</f>
        <v>16.702608470504742</v>
      </c>
    </row>
    <row r="14" spans="2:11" x14ac:dyDescent="0.4">
      <c r="C14" s="99" t="s">
        <v>224</v>
      </c>
      <c r="D14" s="99" t="s">
        <v>226</v>
      </c>
      <c r="E14" s="99" t="s">
        <v>225</v>
      </c>
    </row>
    <row r="15" spans="2:11" x14ac:dyDescent="0.4">
      <c r="B15" s="5" t="s">
        <v>223</v>
      </c>
      <c r="C15" s="117">
        <v>11.56</v>
      </c>
      <c r="D15" s="118">
        <f>E15-C15</f>
        <v>15.87</v>
      </c>
      <c r="E15" s="121">
        <v>27.43</v>
      </c>
      <c r="F15" s="114" t="s">
        <v>236</v>
      </c>
    </row>
    <row r="16" spans="2:11" ht="25.35" x14ac:dyDescent="0.4">
      <c r="B16" s="113" t="s">
        <v>234</v>
      </c>
      <c r="C16" s="115">
        <v>12</v>
      </c>
      <c r="D16" s="33">
        <f t="shared" ref="D16:D19" si="0">E16-C16</f>
        <v>10</v>
      </c>
      <c r="E16" s="122">
        <v>22</v>
      </c>
      <c r="F16" s="114" t="s">
        <v>236</v>
      </c>
    </row>
    <row r="17" spans="2:6" ht="25.35" x14ac:dyDescent="0.4">
      <c r="B17" s="113" t="s">
        <v>235</v>
      </c>
      <c r="C17" s="115">
        <v>14</v>
      </c>
      <c r="D17" s="33">
        <f t="shared" si="0"/>
        <v>5</v>
      </c>
      <c r="E17" s="122">
        <v>19</v>
      </c>
      <c r="F17" s="114" t="s">
        <v>236</v>
      </c>
    </row>
    <row r="18" spans="2:6" ht="25.35" x14ac:dyDescent="0.4">
      <c r="B18" s="112" t="s">
        <v>232</v>
      </c>
      <c r="C18" s="116">
        <f>C11</f>
        <v>16.414299352730982</v>
      </c>
      <c r="D18" s="33">
        <f t="shared" si="0"/>
        <v>8.3135211428939932</v>
      </c>
      <c r="E18" s="123">
        <f>E11</f>
        <v>24.727820495624975</v>
      </c>
    </row>
    <row r="19" spans="2:6" ht="25.35" x14ac:dyDescent="0.4">
      <c r="B19" s="112" t="s">
        <v>233</v>
      </c>
      <c r="C19" s="119">
        <f>G11</f>
        <v>12.191848096221609</v>
      </c>
      <c r="D19" s="120">
        <f t="shared" si="0"/>
        <v>4.5107603742831337</v>
      </c>
      <c r="E19" s="124">
        <f>I11</f>
        <v>16.702608470504742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FdsFormulaCache xmlns="urn:fdsformulacache" version="2" timestamp="1709012989"><![CDATA[{"EXTR^P(01/17/2023)":19.77,"EXTR^P(02/23/2023)":19.14,"JNPR-US^P(02/23/2023)":31.47,"HPE-US^P(02/23/2023)":15.74,"ANET-US^P(02/23/2023)":136.84,"CSCO-US^P(02/23/2023)":49.21,"JNPR-US^P(02/23/2024)":37.18,"HPE-US^P(02/23/2024)":15.11,"ANET-US^P(02/23/2024)":267.66,"CSCO-US^P(02/23/2024)":48.86,"EXTR-US^P(02/23/2024)":12.38}]]></FdsFormulaCache>
</file>

<file path=customXml/itemProps1.xml><?xml version="1.0" encoding="utf-8"?>
<ds:datastoreItem xmlns:ds="http://schemas.openxmlformats.org/officeDocument/2006/customXml" ds:itemID="{92EC9DB2-2757-4876-919E-D4B25E2E1991}">
  <ds:schemaRefs>
    <ds:schemaRef ds:uri="urn:fdsformulacach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ANR as of Feb 14</vt:lpstr>
      <vt:lpstr>Input Tab</vt:lpstr>
      <vt:lpstr>Operating Metrics</vt:lpstr>
      <vt:lpstr>Valuation Metrics</vt:lpstr>
      <vt:lpstr>Football Field</vt:lpstr>
      <vt:lpstr>INPUTS</vt:lpstr>
      <vt:lpstr>METRICS</vt:lpstr>
      <vt:lpstr>REFRESHDATE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Federico</dc:creator>
  <cp:lastModifiedBy>Andrew Federico</cp:lastModifiedBy>
  <dcterms:created xsi:type="dcterms:W3CDTF">2023-12-19T17:08:43Z</dcterms:created>
  <dcterms:modified xsi:type="dcterms:W3CDTF">2024-06-06T20:03:34Z</dcterms:modified>
</cp:coreProperties>
</file>