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312a6c9702ac42/Desktop/"/>
    </mc:Choice>
  </mc:AlternateContent>
  <xr:revisionPtr revIDLastSave="0" documentId="8_{F444B139-680A-4779-991D-3587E3AE8526}" xr6:coauthVersionLast="47" xr6:coauthVersionMax="47" xr10:uidLastSave="{00000000-0000-0000-0000-000000000000}"/>
  <bookViews>
    <workbookView xWindow="36405" yWindow="7290" windowWidth="21600" windowHeight="12645" xr2:uid="{C94901D9-4F77-4043-88D8-786C6AACE3B4}"/>
  </bookViews>
  <sheets>
    <sheet name="Trading Comps - Empty" sheetId="1" r:id="rId1"/>
    <sheet name="Trading Comps - Done" sheetId="2" r:id="rId2"/>
    <sheet name="Trans Comps - Empty" sheetId="3" r:id="rId3"/>
    <sheet name="Trans Comps - Done" sheetId="4" r:id="rId4"/>
  </sheets>
  <externalReferences>
    <externalReference r:id="rId5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MLNK841c85bef3244d5c8fb6b3f84988d79e">#REF!</definedName>
    <definedName name="MLNKa7775792bf444a4785f8ed5c82461a24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E19" i="4"/>
  <c r="G19" i="4"/>
  <c r="G24" i="4" s="1"/>
  <c r="G26" i="4" s="1"/>
  <c r="G21" i="4" s="1"/>
  <c r="H19" i="4"/>
  <c r="H24" i="4" s="1"/>
  <c r="H26" i="4" s="1"/>
  <c r="H21" i="4" s="1"/>
  <c r="I19" i="4"/>
  <c r="I21" i="4"/>
  <c r="G25" i="4"/>
  <c r="H25" i="4"/>
  <c r="C11" i="3"/>
  <c r="E19" i="3"/>
  <c r="G19" i="3"/>
  <c r="H19" i="3"/>
  <c r="I19" i="3"/>
  <c r="C17" i="2"/>
  <c r="D17" i="2"/>
  <c r="D22" i="2" s="1"/>
  <c r="D24" i="2" s="1"/>
  <c r="D25" i="2" s="1"/>
  <c r="D19" i="2" s="1"/>
  <c r="E17" i="2"/>
  <c r="C22" i="2"/>
  <c r="C23" i="2"/>
  <c r="D23" i="2"/>
  <c r="E23" i="2" s="1"/>
  <c r="E22" i="2" s="1"/>
  <c r="C24" i="2"/>
  <c r="C25" i="2" s="1"/>
  <c r="C19" i="2" s="1"/>
  <c r="E24" i="2"/>
  <c r="E25" i="2" s="1"/>
  <c r="E19" i="2" s="1"/>
  <c r="C17" i="1"/>
  <c r="D17" i="1"/>
  <c r="E17" i="1"/>
</calcChain>
</file>

<file path=xl/sharedStrings.xml><?xml version="1.0" encoding="utf-8"?>
<sst xmlns="http://schemas.openxmlformats.org/spreadsheetml/2006/main" count="129" uniqueCount="57">
  <si>
    <t>CL implied equity value per share</t>
  </si>
  <si>
    <t>CL implied equity value</t>
  </si>
  <si>
    <t>Less: Net debt</t>
  </si>
  <si>
    <t>Implied CL enterprise value</t>
  </si>
  <si>
    <t>Is Colgate overvalued based on comps?</t>
  </si>
  <si>
    <t>Implied Colgate share price</t>
  </si>
  <si>
    <t>Mean</t>
  </si>
  <si>
    <t>Avon Products</t>
  </si>
  <si>
    <t>Procter &amp; Gamble</t>
  </si>
  <si>
    <t>Unilever</t>
  </si>
  <si>
    <t>Kimberly Clark</t>
  </si>
  <si>
    <t>P/E</t>
  </si>
  <si>
    <t>EV/EBITDA</t>
  </si>
  <si>
    <t>EV/Sales</t>
  </si>
  <si>
    <t>Peer group</t>
  </si>
  <si>
    <t>Net debt</t>
  </si>
  <si>
    <t>Net income</t>
  </si>
  <si>
    <t>EBITDA</t>
  </si>
  <si>
    <t>Revenue</t>
  </si>
  <si>
    <t>Shares outstanding</t>
  </si>
  <si>
    <t>Share price</t>
  </si>
  <si>
    <t>Colgate </t>
  </si>
  <si>
    <t>Company</t>
  </si>
  <si>
    <t>in millions except per share data</t>
  </si>
  <si>
    <t>Trading Comps</t>
  </si>
  <si>
    <t>No</t>
  </si>
  <si>
    <t>Is Eli overvalued based on comps?</t>
  </si>
  <si>
    <t>Implied Eli share price</t>
  </si>
  <si>
    <t>Sanofi</t>
  </si>
  <si>
    <t>Genzyme</t>
  </si>
  <si>
    <t>Merck</t>
  </si>
  <si>
    <t>Schering-Plough</t>
  </si>
  <si>
    <t>Pfizer</t>
  </si>
  <si>
    <t>Wyeth</t>
  </si>
  <si>
    <t>Genentech</t>
  </si>
  <si>
    <t>Roche</t>
  </si>
  <si>
    <t>/ LTM EPS</t>
  </si>
  <si>
    <t>LTM EBITDA</t>
  </si>
  <si>
    <t>LTM Revenue</t>
  </si>
  <si>
    <t>Paid</t>
  </si>
  <si>
    <t>value ($b)</t>
  </si>
  <si>
    <t xml:space="preserve">Offer price </t>
  </si>
  <si>
    <t>TV /</t>
  </si>
  <si>
    <t xml:space="preserve">TV / </t>
  </si>
  <si>
    <t xml:space="preserve">Premium </t>
  </si>
  <si>
    <t xml:space="preserve">Offer </t>
  </si>
  <si>
    <t>Acquirer</t>
  </si>
  <si>
    <t>Target</t>
  </si>
  <si>
    <t>Comparable transactions</t>
  </si>
  <si>
    <t>EPS</t>
  </si>
  <si>
    <t>LTM Net income</t>
  </si>
  <si>
    <t>Eli Lilly</t>
  </si>
  <si>
    <t>$ in billions, except per share data</t>
  </si>
  <si>
    <t>Comparable Transaction Analysis Exercise</t>
  </si>
  <si>
    <t>Offer value (equity value)</t>
  </si>
  <si>
    <t>Transaction value (enterprise value)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</si>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</sst>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_([$$]#,##0.00_)_%;\([$$]#,##0.00\)_%;_(&quot;–&quot;_)_%;_(@_)_%"/>
    <numFmt numFmtId="165" formatCode="#,##0.0_);\(#,##0.0\)"/>
    <numFmt numFmtId="166" formatCode="0.000"/>
  </numFmts>
  <fonts count="11"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Lft etica"/>
    </font>
    <font>
      <sz val="11"/>
      <color rgb="FF000000"/>
      <name val="Lft etica"/>
    </font>
    <font>
      <b/>
      <sz val="11"/>
      <color rgb="FF000000"/>
      <name val="Lft etica"/>
    </font>
    <font>
      <b/>
      <i/>
      <sz val="11"/>
      <color rgb="FF000000"/>
      <name val="Lft etica"/>
    </font>
    <font>
      <u/>
      <sz val="11"/>
      <color rgb="FF0000FF"/>
      <name val="Lft etica"/>
    </font>
    <font>
      <sz val="11"/>
      <color rgb="FF0000FF"/>
      <name val="Lft etica"/>
    </font>
    <font>
      <u/>
      <sz val="11"/>
      <color rgb="FF000000"/>
      <name val="Lft etica"/>
    </font>
    <font>
      <i/>
      <sz val="11"/>
      <color theme="1"/>
      <name val="Lft etica"/>
    </font>
    <font>
      <b/>
      <sz val="11"/>
      <color theme="1"/>
      <name val="Lft etica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12">
    <border>
      <left/>
      <right/>
      <top/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0" fillId="0" borderId="0" xfId="1" applyFont="1"/>
    <xf numFmtId="0" fontId="2" fillId="0" borderId="0" xfId="1" applyFont="1"/>
    <xf numFmtId="164" fontId="2" fillId="0" borderId="0" xfId="1" applyNumberFormat="1" applyFont="1"/>
    <xf numFmtId="0" fontId="3" fillId="0" borderId="0" xfId="1" applyFont="1" applyAlignment="1">
      <alignment horizontal="left" vertical="center" wrapText="1" readingOrder="1"/>
    </xf>
    <xf numFmtId="37" fontId="2" fillId="0" borderId="0" xfId="1" applyNumberFormat="1" applyFont="1"/>
    <xf numFmtId="37" fontId="3" fillId="0" borderId="0" xfId="1" applyNumberFormat="1" applyFont="1"/>
    <xf numFmtId="0" fontId="3" fillId="2" borderId="1" xfId="1" applyFont="1" applyFill="1" applyBorder="1" applyAlignment="1">
      <alignment horizontal="right" vertical="center" wrapText="1" readingOrder="1"/>
    </xf>
    <xf numFmtId="0" fontId="3" fillId="2" borderId="2" xfId="1" applyFont="1" applyFill="1" applyBorder="1" applyAlignment="1">
      <alignment horizontal="right" vertical="center" wrapText="1" readingOrder="1"/>
    </xf>
    <xf numFmtId="0" fontId="3" fillId="2" borderId="3" xfId="1" applyFont="1" applyFill="1" applyBorder="1" applyAlignment="1">
      <alignment horizontal="right" vertical="center" wrapText="1" readingOrder="1"/>
    </xf>
    <xf numFmtId="164" fontId="3" fillId="2" borderId="4" xfId="1" applyNumberFormat="1" applyFont="1" applyFill="1" applyBorder="1" applyAlignment="1">
      <alignment horizontal="right" vertical="center" wrapText="1" readingOrder="1"/>
    </xf>
    <xf numFmtId="164" fontId="3" fillId="2" borderId="5" xfId="1" applyNumberFormat="1" applyFont="1" applyFill="1" applyBorder="1" applyAlignment="1">
      <alignment horizontal="right" vertical="center" wrapText="1" readingOrder="1"/>
    </xf>
    <xf numFmtId="164" fontId="3" fillId="2" borderId="6" xfId="1" applyNumberFormat="1" applyFont="1" applyFill="1" applyBorder="1" applyAlignment="1">
      <alignment horizontal="right" vertical="center" wrapText="1" readingOrder="1"/>
    </xf>
    <xf numFmtId="0" fontId="3" fillId="0" borderId="7" xfId="1" applyFont="1" applyBorder="1" applyAlignment="1">
      <alignment horizontal="left" vertical="center" wrapText="1" readingOrder="1"/>
    </xf>
    <xf numFmtId="39" fontId="4" fillId="0" borderId="5" xfId="1" applyNumberFormat="1" applyFont="1" applyBorder="1" applyAlignment="1">
      <alignment horizontal="right" vertical="center" wrapText="1" readingOrder="1"/>
    </xf>
    <xf numFmtId="39" fontId="4" fillId="0" borderId="6" xfId="1" applyNumberFormat="1" applyFont="1" applyBorder="1" applyAlignment="1">
      <alignment horizontal="right" vertical="center" wrapText="1" readingOrder="1"/>
    </xf>
    <xf numFmtId="0" fontId="5" fillId="0" borderId="0" xfId="1" applyFont="1" applyAlignment="1">
      <alignment horizontal="left" vertical="center" wrapText="1" readingOrder="1"/>
    </xf>
    <xf numFmtId="165" fontId="6" fillId="0" borderId="8" xfId="1" applyNumberFormat="1" applyFont="1" applyBorder="1" applyAlignment="1">
      <alignment horizontal="right" vertical="center" wrapText="1" readingOrder="1"/>
    </xf>
    <xf numFmtId="165" fontId="6" fillId="0" borderId="0" xfId="1" applyNumberFormat="1" applyFont="1" applyAlignment="1">
      <alignment horizontal="right" vertical="center" wrapText="1" readingOrder="1"/>
    </xf>
    <xf numFmtId="165" fontId="6" fillId="0" borderId="9" xfId="1" applyNumberFormat="1" applyFont="1" applyBorder="1" applyAlignment="1">
      <alignment horizontal="right" vertical="center" wrapText="1" readingOrder="1"/>
    </xf>
    <xf numFmtId="165" fontId="7" fillId="0" borderId="8" xfId="1" applyNumberFormat="1" applyFont="1" applyBorder="1" applyAlignment="1">
      <alignment horizontal="right" vertical="center" wrapText="1" readingOrder="1"/>
    </xf>
    <xf numFmtId="165" fontId="7" fillId="0" borderId="0" xfId="1" applyNumberFormat="1" applyFont="1" applyAlignment="1">
      <alignment horizontal="right" vertical="center" wrapText="1" readingOrder="1"/>
    </xf>
    <xf numFmtId="165" fontId="7" fillId="0" borderId="9" xfId="1" applyNumberFormat="1" applyFont="1" applyBorder="1" applyAlignment="1">
      <alignment horizontal="right" vertical="center" wrapText="1" readingOrder="1"/>
    </xf>
    <xf numFmtId="165" fontId="7" fillId="0" borderId="10" xfId="1" applyNumberFormat="1" applyFont="1" applyBorder="1" applyAlignment="1">
      <alignment horizontal="right" vertical="center" wrapText="1" readingOrder="1"/>
    </xf>
    <xf numFmtId="165" fontId="7" fillId="0" borderId="7" xfId="1" applyNumberFormat="1" applyFont="1" applyBorder="1" applyAlignment="1">
      <alignment horizontal="right" vertical="center" wrapText="1" readingOrder="1"/>
    </xf>
    <xf numFmtId="165" fontId="7" fillId="0" borderId="11" xfId="1" applyNumberFormat="1" applyFont="1" applyBorder="1" applyAlignment="1">
      <alignment horizontal="right" vertical="center" wrapText="1" readingOrder="1"/>
    </xf>
    <xf numFmtId="0" fontId="8" fillId="0" borderId="0" xfId="1" applyFont="1" applyAlignment="1">
      <alignment horizontal="right" vertical="center" wrapText="1" readingOrder="1"/>
    </xf>
    <xf numFmtId="0" fontId="4" fillId="0" borderId="0" xfId="1" applyFont="1" applyAlignment="1">
      <alignment horizontal="left" vertical="center" wrapText="1" readingOrder="1"/>
    </xf>
    <xf numFmtId="37" fontId="7" fillId="0" borderId="0" xfId="1" applyNumberFormat="1" applyFont="1" applyAlignment="1">
      <alignment horizontal="right" vertical="center" wrapText="1" readingOrder="1"/>
    </xf>
    <xf numFmtId="39" fontId="7" fillId="0" borderId="0" xfId="1" applyNumberFormat="1" applyFont="1" applyAlignment="1">
      <alignment horizontal="right" vertical="center" wrapText="1" readingOrder="1"/>
    </xf>
    <xf numFmtId="0" fontId="3" fillId="0" borderId="0" xfId="1" applyFont="1" applyAlignment="1">
      <alignment horizontal="right" vertical="center" wrapText="1" readingOrder="1"/>
    </xf>
    <xf numFmtId="0" fontId="9" fillId="0" borderId="0" xfId="1" applyFont="1"/>
    <xf numFmtId="0" fontId="10" fillId="0" borderId="0" xfId="1" applyFont="1"/>
    <xf numFmtId="0" fontId="3" fillId="0" borderId="1" xfId="1" applyFont="1" applyBorder="1" applyAlignment="1">
      <alignment horizontal="right" vertical="center" wrapText="1" readingOrder="1"/>
    </xf>
    <xf numFmtId="0" fontId="3" fillId="0" borderId="2" xfId="1" applyFont="1" applyBorder="1" applyAlignment="1">
      <alignment horizontal="right" vertical="center" wrapText="1" readingOrder="1"/>
    </xf>
    <xf numFmtId="0" fontId="3" fillId="0" borderId="3" xfId="1" applyFont="1" applyBorder="1" applyAlignment="1">
      <alignment horizontal="right" vertical="center" wrapText="1" readingOrder="1"/>
    </xf>
    <xf numFmtId="164" fontId="3" fillId="0" borderId="4" xfId="1" applyNumberFormat="1" applyFont="1" applyBorder="1" applyAlignment="1">
      <alignment horizontal="right" vertical="center" wrapText="1" readingOrder="1"/>
    </xf>
    <xf numFmtId="164" fontId="3" fillId="0" borderId="5" xfId="1" applyNumberFormat="1" applyFont="1" applyBorder="1" applyAlignment="1">
      <alignment horizontal="right" vertical="center" wrapText="1" readingOrder="1"/>
    </xf>
    <xf numFmtId="164" fontId="3" fillId="0" borderId="6" xfId="1" applyNumberFormat="1" applyFont="1" applyBorder="1" applyAlignment="1">
      <alignment horizontal="right" vertical="center" wrapText="1" readingOrder="1"/>
    </xf>
    <xf numFmtId="165" fontId="2" fillId="0" borderId="0" xfId="1" applyNumberFormat="1" applyFont="1"/>
    <xf numFmtId="8" fontId="2" fillId="2" borderId="1" xfId="1" applyNumberFormat="1" applyFont="1" applyFill="1" applyBorder="1" applyAlignment="1">
      <alignment horizontal="right" vertical="center"/>
    </xf>
    <xf numFmtId="8" fontId="2" fillId="2" borderId="2" xfId="1" applyNumberFormat="1" applyFont="1" applyFill="1" applyBorder="1" applyAlignment="1">
      <alignment horizontal="right" vertical="center"/>
    </xf>
    <xf numFmtId="8" fontId="2" fillId="2" borderId="3" xfId="1" applyNumberFormat="1" applyFont="1" applyFill="1" applyBorder="1" applyAlignment="1">
      <alignment horizontal="right" vertical="center"/>
    </xf>
    <xf numFmtId="0" fontId="2" fillId="0" borderId="0" xfId="1" applyFont="1" applyAlignment="1">
      <alignment wrapText="1"/>
    </xf>
    <xf numFmtId="0" fontId="3" fillId="0" borderId="0" xfId="1" applyFont="1" applyAlignment="1">
      <alignment horizontal="left" vertical="center" readingOrder="1"/>
    </xf>
    <xf numFmtId="8" fontId="2" fillId="2" borderId="4" xfId="1" applyNumberFormat="1" applyFont="1" applyFill="1" applyBorder="1" applyAlignment="1">
      <alignment horizontal="right" vertical="center"/>
    </xf>
    <xf numFmtId="8" fontId="2" fillId="2" borderId="5" xfId="1" applyNumberFormat="1" applyFont="1" applyFill="1" applyBorder="1" applyAlignment="1">
      <alignment horizontal="right" vertical="center"/>
    </xf>
    <xf numFmtId="8" fontId="2" fillId="2" borderId="6" xfId="1" applyNumberFormat="1" applyFont="1" applyFill="1" applyBorder="1" applyAlignment="1">
      <alignment horizontal="right" vertical="center"/>
    </xf>
    <xf numFmtId="0" fontId="2" fillId="0" borderId="0" xfId="1" applyFont="1" applyAlignment="1">
      <alignment vertical="center" wrapText="1"/>
    </xf>
    <xf numFmtId="39" fontId="3" fillId="0" borderId="0" xfId="1" applyNumberFormat="1" applyFont="1" applyAlignment="1">
      <alignment horizontal="right" readingOrder="1"/>
    </xf>
    <xf numFmtId="10" fontId="3" fillId="0" borderId="0" xfId="1" applyNumberFormat="1" applyFont="1" applyAlignment="1">
      <alignment horizontal="right" readingOrder="1"/>
    </xf>
    <xf numFmtId="10" fontId="3" fillId="0" borderId="0" xfId="1" applyNumberFormat="1" applyFont="1" applyAlignment="1">
      <alignment horizontal="right" wrapText="1" readingOrder="1"/>
    </xf>
    <xf numFmtId="39" fontId="7" fillId="0" borderId="0" xfId="1" applyNumberFormat="1" applyFont="1" applyAlignment="1">
      <alignment horizontal="right" vertical="center" readingOrder="1"/>
    </xf>
    <xf numFmtId="10" fontId="7" fillId="0" borderId="0" xfId="1" applyNumberFormat="1" applyFont="1" applyAlignment="1">
      <alignment horizontal="right" wrapText="1" readingOrder="1"/>
    </xf>
    <xf numFmtId="8" fontId="7" fillId="0" borderId="0" xfId="1" applyNumberFormat="1" applyFont="1" applyAlignment="1">
      <alignment horizontal="right" wrapText="1" readingOrder="1"/>
    </xf>
    <xf numFmtId="0" fontId="3" fillId="0" borderId="0" xfId="1" applyFont="1" applyAlignment="1">
      <alignment horizontal="left" wrapText="1" readingOrder="1"/>
    </xf>
    <xf numFmtId="0" fontId="8" fillId="0" borderId="0" xfId="1" applyFont="1" applyAlignment="1">
      <alignment horizontal="center" readingOrder="1"/>
    </xf>
    <xf numFmtId="0" fontId="8" fillId="0" borderId="0" xfId="1" applyFont="1" applyAlignment="1">
      <alignment horizontal="center" wrapText="1" readingOrder="1"/>
    </xf>
    <xf numFmtId="0" fontId="8" fillId="0" borderId="0" xfId="1" applyFont="1" applyAlignment="1">
      <alignment horizontal="left" wrapText="1" readingOrder="1"/>
    </xf>
    <xf numFmtId="0" fontId="4" fillId="0" borderId="0" xfId="1" applyFont="1" applyAlignment="1">
      <alignment horizontal="left" vertical="center" readingOrder="1"/>
    </xf>
    <xf numFmtId="0" fontId="2" fillId="0" borderId="0" xfId="1" applyFont="1" applyAlignment="1">
      <alignment vertical="center"/>
    </xf>
    <xf numFmtId="39" fontId="3" fillId="0" borderId="0" xfId="1" applyNumberFormat="1" applyFont="1" applyAlignment="1">
      <alignment vertical="center" wrapText="1"/>
    </xf>
    <xf numFmtId="8" fontId="7" fillId="0" borderId="0" xfId="1" applyNumberFormat="1" applyFont="1" applyAlignment="1">
      <alignment horizontal="right" vertical="center" wrapText="1" readingOrder="1"/>
    </xf>
    <xf numFmtId="166" fontId="7" fillId="0" borderId="0" xfId="1" applyNumberFormat="1" applyFont="1" applyAlignment="1">
      <alignment horizontal="right" vertical="center" wrapText="1" readingOrder="1"/>
    </xf>
    <xf numFmtId="8" fontId="3" fillId="0" borderId="0" xfId="1" applyNumberFormat="1" applyFont="1" applyAlignment="1">
      <alignment horizontal="right" vertical="center" wrapText="1" readingOrder="1"/>
    </xf>
    <xf numFmtId="8" fontId="2" fillId="0" borderId="1" xfId="1" applyNumberFormat="1" applyFont="1" applyBorder="1" applyAlignment="1">
      <alignment horizontal="right" vertical="center"/>
    </xf>
    <xf numFmtId="8" fontId="2" fillId="0" borderId="2" xfId="1" applyNumberFormat="1" applyFont="1" applyBorder="1" applyAlignment="1">
      <alignment horizontal="right" vertical="center"/>
    </xf>
    <xf numFmtId="8" fontId="2" fillId="0" borderId="3" xfId="1" applyNumberFormat="1" applyFont="1" applyBorder="1" applyAlignment="1">
      <alignment horizontal="right" vertical="center"/>
    </xf>
    <xf numFmtId="8" fontId="2" fillId="0" borderId="4" xfId="1" applyNumberFormat="1" applyFont="1" applyBorder="1" applyAlignment="1">
      <alignment horizontal="right" vertical="center"/>
    </xf>
    <xf numFmtId="8" fontId="2" fillId="0" borderId="5" xfId="1" applyNumberFormat="1" applyFont="1" applyBorder="1" applyAlignment="1">
      <alignment horizontal="right" vertical="center"/>
    </xf>
    <xf numFmtId="8" fontId="2" fillId="0" borderId="6" xfId="1" applyNumberFormat="1" applyFont="1" applyBorder="1" applyAlignment="1">
      <alignment horizontal="right" vertical="center"/>
    </xf>
  </cellXfs>
  <cellStyles count="2">
    <cellStyle name="Normal" xfId="0" builtinId="0"/>
    <cellStyle name="Normal 2" xfId="1" xr:uid="{32E0A1EB-99A1-44BE-82E9-D50A8CBE6E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7312a6c9702ac42/Desktop/WSP/2.%20Past%20Projects/Lead%20Past%20Projects/Bucknell/Interview%20Prep/Interview%20Prep%20Exercises%20-%20Bucknell.xlsx" TargetMode="External"/><Relationship Id="rId1" Type="http://schemas.openxmlformats.org/officeDocument/2006/relationships/externalLinkPath" Target="WSP/2.%20Past%20Projects/Lead%20Past%20Projects/Bucknell/Interview%20Prep/Interview%20Prep%20Exercises%20-%20Buckne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Accounting"/>
      <sheetName val="A - EMPTY"/>
      <sheetName val="A - DONE"/>
      <sheetName val="B - EMPTY"/>
      <sheetName val="B - DONE"/>
      <sheetName val="C - EMPTY"/>
      <sheetName val="C - DONE"/>
      <sheetName val="D -EMPTY"/>
      <sheetName val="D - DONE"/>
      <sheetName val="E - EMPTY"/>
      <sheetName val="E - DONE"/>
      <sheetName val="F -EMPTY"/>
      <sheetName val="F - DONE"/>
      <sheetName val="DCF-VALUATION"/>
      <sheetName val="Intro to Forecasting"/>
      <sheetName val="DCF Mechanics"/>
      <sheetName val="Hot Dog - EMPTY"/>
      <sheetName val="Hot Dog - Complete"/>
      <sheetName val="DCF Forecasting"/>
      <sheetName val="DCF - EMPTY"/>
      <sheetName val="DCF - DONE"/>
      <sheetName val="WACC - EMPTY"/>
      <sheetName val="WACC - ANSWER"/>
      <sheetName val="RELATIVE VALUATION - COMPS"/>
      <sheetName val="M&amp;A"/>
      <sheetName val="Accr Dil - EMPTY"/>
      <sheetName val="Accr Dil - DONE"/>
      <sheetName val="M&amp;A - EMPTY"/>
      <sheetName val="M&amp;A - DONE"/>
      <sheetName val="LBO"/>
      <sheetName val="LBO SIMPLE - EMPTY"/>
      <sheetName val="LBO SIMPLE - DONE"/>
      <sheetName val="LBO INTERMEDIATE - EMPTY"/>
      <sheetName val="LBO INTERMEDIATE - DO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A2BD-FAF8-4A47-B66E-9C3A3866BAED}">
  <dimension ref="A2:Z1001"/>
  <sheetViews>
    <sheetView showGridLines="0" tabSelected="1" zoomScale="115" zoomScaleNormal="115" workbookViewId="0"/>
  </sheetViews>
  <sheetFormatPr defaultColWidth="14.42578125" defaultRowHeight="15" customHeight="1"/>
  <cols>
    <col min="1" max="1" width="3.5703125" style="1" customWidth="1"/>
    <col min="2" max="2" width="35.28515625" style="1" customWidth="1"/>
    <col min="3" max="4" width="14.42578125" style="1"/>
    <col min="5" max="5" width="15.42578125" style="1" customWidth="1"/>
    <col min="6" max="26" width="9.140625" style="1" customWidth="1"/>
    <col min="27" max="16384" width="14.42578125" style="1"/>
  </cols>
  <sheetData>
    <row r="2" spans="1:26">
      <c r="A2" s="2"/>
      <c r="B2" s="32" t="s">
        <v>24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>
      <c r="A3" s="2"/>
      <c r="B3" s="31" t="s">
        <v>23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2"/>
      <c r="B4" s="4" t="s">
        <v>22</v>
      </c>
      <c r="C4" s="30" t="s">
        <v>21</v>
      </c>
      <c r="D4" s="4"/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2"/>
      <c r="B5" s="4" t="s">
        <v>20</v>
      </c>
      <c r="C5" s="29">
        <v>30</v>
      </c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2"/>
      <c r="B6" s="4" t="s">
        <v>19</v>
      </c>
      <c r="C6" s="28">
        <v>30</v>
      </c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2"/>
      <c r="B7" s="4" t="s">
        <v>18</v>
      </c>
      <c r="C7" s="28">
        <v>1000</v>
      </c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2"/>
      <c r="B8" s="4" t="s">
        <v>17</v>
      </c>
      <c r="C8" s="28">
        <v>200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2"/>
      <c r="B9" s="4" t="s">
        <v>16</v>
      </c>
      <c r="C9" s="28">
        <v>75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2"/>
      <c r="B10" s="4" t="s">
        <v>15</v>
      </c>
      <c r="C10" s="28">
        <v>200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2"/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2"/>
      <c r="B12" s="27" t="s">
        <v>14</v>
      </c>
      <c r="C12" s="26" t="s">
        <v>13</v>
      </c>
      <c r="D12" s="26" t="s">
        <v>12</v>
      </c>
      <c r="E12" s="26" t="s">
        <v>11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2"/>
      <c r="B13" s="4" t="s">
        <v>10</v>
      </c>
      <c r="C13" s="25">
        <v>1</v>
      </c>
      <c r="D13" s="24">
        <v>6</v>
      </c>
      <c r="E13" s="2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2"/>
      <c r="B14" s="4" t="s">
        <v>9</v>
      </c>
      <c r="C14" s="22">
        <v>2</v>
      </c>
      <c r="D14" s="21">
        <v>8</v>
      </c>
      <c r="E14" s="20">
        <v>19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2"/>
      <c r="B15" s="4" t="s">
        <v>8</v>
      </c>
      <c r="C15" s="22">
        <v>1.5</v>
      </c>
      <c r="D15" s="21">
        <v>6.5</v>
      </c>
      <c r="E15" s="20">
        <v>17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2"/>
      <c r="B16" s="4" t="s">
        <v>7</v>
      </c>
      <c r="C16" s="19">
        <v>1</v>
      </c>
      <c r="D16" s="18">
        <v>5.8</v>
      </c>
      <c r="E16" s="17">
        <v>14.6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2"/>
      <c r="B17" s="16" t="s">
        <v>6</v>
      </c>
      <c r="C17" s="15">
        <f>AVERAGE(C13:C16)</f>
        <v>1.375</v>
      </c>
      <c r="D17" s="15">
        <f>AVERAGE(D13:D16)</f>
        <v>6.5750000000000002</v>
      </c>
      <c r="E17" s="14">
        <f>AVERAGE(E13:E16)</f>
        <v>16.399999999999999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2"/>
      <c r="B18" s="4"/>
      <c r="C18" s="13"/>
      <c r="D18" s="13"/>
      <c r="E18" s="1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2"/>
      <c r="B19" s="4" t="s">
        <v>5</v>
      </c>
      <c r="C19" s="12"/>
      <c r="D19" s="11"/>
      <c r="E19" s="1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2"/>
      <c r="B20" s="4" t="s">
        <v>4</v>
      </c>
      <c r="C20" s="9"/>
      <c r="D20" s="8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4"/>
      <c r="C22" s="6"/>
      <c r="D22" s="2"/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4" t="s">
        <v>3</v>
      </c>
      <c r="C23" s="5"/>
      <c r="D23" s="5"/>
      <c r="E23" s="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4" t="s">
        <v>2</v>
      </c>
      <c r="C24" s="5"/>
      <c r="D24" s="5"/>
      <c r="E24" s="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4" t="s">
        <v>1</v>
      </c>
      <c r="C25" s="5"/>
      <c r="D25" s="5"/>
      <c r="E25" s="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4" t="s">
        <v>0</v>
      </c>
      <c r="C26" s="3"/>
      <c r="D26" s="3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4A42-5698-4468-BB55-EB2E0D811901}">
  <dimension ref="A2:Z1001"/>
  <sheetViews>
    <sheetView showGridLines="0" workbookViewId="0"/>
  </sheetViews>
  <sheetFormatPr defaultColWidth="14.42578125" defaultRowHeight="15" customHeight="1"/>
  <cols>
    <col min="1" max="1" width="3.5703125" style="1" customWidth="1"/>
    <col min="2" max="2" width="40.5703125" style="1" customWidth="1"/>
    <col min="3" max="4" width="14.42578125" style="1"/>
    <col min="5" max="5" width="15.42578125" style="1" customWidth="1"/>
    <col min="6" max="26" width="9.140625" style="1" customWidth="1"/>
    <col min="27" max="16384" width="14.42578125" style="1"/>
  </cols>
  <sheetData>
    <row r="2" spans="1:26">
      <c r="A2" s="2"/>
      <c r="B2" s="32" t="s">
        <v>24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>
      <c r="A3" s="2"/>
      <c r="B3" s="31" t="s">
        <v>23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>
      <c r="A4" s="2"/>
      <c r="B4" s="4" t="s">
        <v>22</v>
      </c>
      <c r="C4" s="30" t="s">
        <v>21</v>
      </c>
      <c r="D4" s="4"/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>
      <c r="A5" s="2"/>
      <c r="B5" s="4" t="s">
        <v>20</v>
      </c>
      <c r="C5" s="29">
        <v>30</v>
      </c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>
      <c r="A6" s="2"/>
      <c r="B6" s="4" t="s">
        <v>19</v>
      </c>
      <c r="C6" s="28">
        <v>30</v>
      </c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>
      <c r="A7" s="2"/>
      <c r="B7" s="4" t="s">
        <v>18</v>
      </c>
      <c r="C7" s="28">
        <v>1000</v>
      </c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>
      <c r="A8" s="2"/>
      <c r="B8" s="4" t="s">
        <v>17</v>
      </c>
      <c r="C8" s="28">
        <v>200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2"/>
      <c r="B9" s="4" t="s">
        <v>16</v>
      </c>
      <c r="C9" s="28">
        <v>75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2"/>
      <c r="B10" s="4" t="s">
        <v>15</v>
      </c>
      <c r="C10" s="28">
        <v>200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2"/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2"/>
      <c r="B12" s="27" t="s">
        <v>14</v>
      </c>
      <c r="C12" s="26" t="s">
        <v>13</v>
      </c>
      <c r="D12" s="26" t="s">
        <v>12</v>
      </c>
      <c r="E12" s="26" t="s">
        <v>11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2"/>
      <c r="B13" s="4" t="s">
        <v>10</v>
      </c>
      <c r="C13" s="25">
        <v>1</v>
      </c>
      <c r="D13" s="24">
        <v>6</v>
      </c>
      <c r="E13" s="2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2"/>
      <c r="B14" s="4" t="s">
        <v>9</v>
      </c>
      <c r="C14" s="22">
        <v>2</v>
      </c>
      <c r="D14" s="21">
        <v>8</v>
      </c>
      <c r="E14" s="20">
        <v>19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2"/>
      <c r="B15" s="4" t="s">
        <v>8</v>
      </c>
      <c r="C15" s="22">
        <v>1.5</v>
      </c>
      <c r="D15" s="21">
        <v>6.5</v>
      </c>
      <c r="E15" s="20">
        <v>17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2"/>
      <c r="B16" s="4" t="s">
        <v>7</v>
      </c>
      <c r="C16" s="19">
        <v>1</v>
      </c>
      <c r="D16" s="18">
        <v>5.8</v>
      </c>
      <c r="E16" s="17">
        <v>14.6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2"/>
      <c r="B17" s="16" t="s">
        <v>6</v>
      </c>
      <c r="C17" s="15">
        <f>AVERAGE(C13:C16)</f>
        <v>1.375</v>
      </c>
      <c r="D17" s="15">
        <f>AVERAGE(D13:D16)</f>
        <v>6.5750000000000002</v>
      </c>
      <c r="E17" s="14">
        <f>AVERAGE(E13:E16)</f>
        <v>16.399999999999999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2"/>
      <c r="B18" s="4"/>
      <c r="C18" s="13"/>
      <c r="D18" s="13"/>
      <c r="E18" s="1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2"/>
      <c r="B19" s="4" t="s">
        <v>5</v>
      </c>
      <c r="C19" s="38">
        <f>C25</f>
        <v>39.166666666666664</v>
      </c>
      <c r="D19" s="37">
        <f>D25</f>
        <v>37.166666666666664</v>
      </c>
      <c r="E19" s="36">
        <f>E25</f>
        <v>41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2"/>
      <c r="B20" s="4" t="s">
        <v>4</v>
      </c>
      <c r="C20" s="35" t="s">
        <v>25</v>
      </c>
      <c r="D20" s="34" t="s">
        <v>25</v>
      </c>
      <c r="E20" s="33" t="s">
        <v>25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4" t="s">
        <v>3</v>
      </c>
      <c r="C22" s="6">
        <f>C17*C7</f>
        <v>1375</v>
      </c>
      <c r="D22" s="5">
        <f>D17*C8</f>
        <v>1315</v>
      </c>
      <c r="E22" s="5">
        <f>E23+E24</f>
        <v>1430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4" t="s">
        <v>2</v>
      </c>
      <c r="C23" s="5">
        <f>C10</f>
        <v>200</v>
      </c>
      <c r="D23" s="5">
        <f>C23</f>
        <v>200</v>
      </c>
      <c r="E23" s="5">
        <f>D23</f>
        <v>200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4" t="s">
        <v>1</v>
      </c>
      <c r="C24" s="5">
        <f>C22-C23</f>
        <v>1175</v>
      </c>
      <c r="D24" s="5">
        <f>D22-D23</f>
        <v>1115</v>
      </c>
      <c r="E24" s="5">
        <f>E17*C9</f>
        <v>1230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4" t="s">
        <v>0</v>
      </c>
      <c r="C25" s="3">
        <f>C24/$C$6</f>
        <v>39.166666666666664</v>
      </c>
      <c r="D25" s="3">
        <f>D24/$C$6</f>
        <v>37.166666666666664</v>
      </c>
      <c r="E25" s="3">
        <f>E24/C6</f>
        <v>41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2C6E-896A-4EAC-A855-58AF6CA1E978}">
  <dimension ref="A2:Z1001"/>
  <sheetViews>
    <sheetView showGridLines="0" workbookViewId="0"/>
  </sheetViews>
  <sheetFormatPr defaultColWidth="14.42578125" defaultRowHeight="15" customHeight="1"/>
  <cols>
    <col min="1" max="1" width="3.5703125" style="1" customWidth="1"/>
    <col min="2" max="2" width="31.7109375" style="1" customWidth="1"/>
    <col min="3" max="3" width="12" style="1" customWidth="1"/>
    <col min="4" max="4" width="13.28515625" style="1" customWidth="1"/>
    <col min="5" max="5" width="9.5703125" style="1" customWidth="1"/>
    <col min="6" max="6" width="2.28515625" style="1" customWidth="1"/>
    <col min="7" max="9" width="15.7109375" style="1" customWidth="1"/>
    <col min="10" max="26" width="9.140625" style="1" customWidth="1"/>
    <col min="27" max="16384" width="14.42578125" style="1"/>
  </cols>
  <sheetData>
    <row r="2" spans="1:26" ht="30">
      <c r="A2" s="2"/>
      <c r="B2" s="27" t="s">
        <v>53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31" t="s">
        <v>52</v>
      </c>
      <c r="C3" s="27"/>
      <c r="D3" s="27"/>
      <c r="E3" s="27"/>
      <c r="F3" s="59"/>
      <c r="G3" s="59"/>
      <c r="H3" s="59"/>
      <c r="I3" s="59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>
      <c r="A4" s="2"/>
      <c r="B4" s="4" t="s">
        <v>22</v>
      </c>
      <c r="C4" s="30" t="s">
        <v>51</v>
      </c>
      <c r="D4" s="30"/>
      <c r="E4" s="30"/>
      <c r="F4" s="60"/>
      <c r="G4" s="60"/>
      <c r="H4" s="60"/>
      <c r="I4" s="60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>
      <c r="A5" s="2"/>
      <c r="B5" s="4" t="s">
        <v>20</v>
      </c>
      <c r="C5" s="62">
        <v>50</v>
      </c>
      <c r="D5" s="64"/>
      <c r="E5" s="64"/>
      <c r="F5" s="60"/>
      <c r="G5" s="60"/>
      <c r="H5" s="60"/>
      <c r="I5" s="60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2"/>
      <c r="B6" s="4" t="s">
        <v>19</v>
      </c>
      <c r="C6" s="63">
        <v>1</v>
      </c>
      <c r="D6" s="30"/>
      <c r="E6" s="30"/>
      <c r="F6" s="60"/>
      <c r="G6" s="60"/>
      <c r="H6" s="60"/>
      <c r="I6" s="6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2"/>
      <c r="B7" s="4" t="s">
        <v>38</v>
      </c>
      <c r="C7" s="62">
        <v>20</v>
      </c>
      <c r="D7" s="30"/>
      <c r="E7" s="30"/>
      <c r="F7" s="60"/>
      <c r="G7" s="60"/>
      <c r="H7" s="60"/>
      <c r="I7" s="6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2"/>
      <c r="B8" s="4" t="s">
        <v>37</v>
      </c>
      <c r="C8" s="62">
        <v>6.5</v>
      </c>
      <c r="D8" s="30"/>
      <c r="E8" s="30"/>
      <c r="F8" s="60"/>
      <c r="G8" s="60"/>
      <c r="H8" s="60"/>
      <c r="I8" s="6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2"/>
      <c r="B9" s="4" t="s">
        <v>50</v>
      </c>
      <c r="C9" s="62">
        <v>5</v>
      </c>
      <c r="D9" s="30"/>
      <c r="E9" s="30"/>
      <c r="F9" s="60"/>
      <c r="G9" s="60"/>
      <c r="H9" s="60"/>
      <c r="I9" s="6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2"/>
      <c r="B10" s="4" t="s">
        <v>15</v>
      </c>
      <c r="C10" s="62">
        <v>1</v>
      </c>
      <c r="D10" s="30"/>
      <c r="E10" s="30"/>
      <c r="F10" s="60"/>
      <c r="G10" s="60"/>
      <c r="H10" s="60"/>
      <c r="I10" s="6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2"/>
      <c r="B11" s="48" t="s">
        <v>49</v>
      </c>
      <c r="C11" s="61">
        <f>C9/C6</f>
        <v>5</v>
      </c>
      <c r="D11" s="48"/>
      <c r="E11" s="48"/>
      <c r="F11" s="60"/>
      <c r="G11" s="60"/>
      <c r="H11" s="60"/>
      <c r="I11" s="6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"/>
      <c r="B12" s="59" t="s">
        <v>48</v>
      </c>
      <c r="C12" s="59"/>
      <c r="D12" s="59"/>
      <c r="E12" s="59"/>
      <c r="F12" s="59"/>
      <c r="G12" s="59"/>
      <c r="H12" s="59"/>
      <c r="I12" s="5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2"/>
      <c r="B13" s="58" t="s">
        <v>47</v>
      </c>
      <c r="C13" s="58" t="s">
        <v>46</v>
      </c>
      <c r="D13" s="57" t="s">
        <v>45</v>
      </c>
      <c r="E13" s="57" t="s">
        <v>44</v>
      </c>
      <c r="F13" s="56"/>
      <c r="G13" s="56" t="s">
        <v>43</v>
      </c>
      <c r="H13" s="56" t="s">
        <v>42</v>
      </c>
      <c r="I13" s="56" t="s">
        <v>41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"/>
      <c r="B14" s="58"/>
      <c r="C14" s="58"/>
      <c r="D14" s="57" t="s">
        <v>40</v>
      </c>
      <c r="E14" s="57" t="s">
        <v>39</v>
      </c>
      <c r="F14" s="56"/>
      <c r="G14" s="56" t="s">
        <v>38</v>
      </c>
      <c r="H14" s="56" t="s">
        <v>37</v>
      </c>
      <c r="I14" s="56" t="s">
        <v>36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2"/>
      <c r="B15" s="4" t="s">
        <v>35</v>
      </c>
      <c r="C15" s="55" t="s">
        <v>34</v>
      </c>
      <c r="D15" s="54">
        <v>47</v>
      </c>
      <c r="E15" s="53">
        <v>0.19</v>
      </c>
      <c r="F15" s="50"/>
      <c r="G15" s="52">
        <v>2</v>
      </c>
      <c r="H15" s="52">
        <v>8</v>
      </c>
      <c r="I15" s="52">
        <v>16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/>
      <c r="B16" s="55" t="s">
        <v>33</v>
      </c>
      <c r="C16" s="4" t="s">
        <v>32</v>
      </c>
      <c r="D16" s="54">
        <v>68</v>
      </c>
      <c r="E16" s="53">
        <v>0.18</v>
      </c>
      <c r="F16" s="50"/>
      <c r="G16" s="52">
        <v>3</v>
      </c>
      <c r="H16" s="52">
        <v>12</v>
      </c>
      <c r="I16" s="52">
        <v>20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/>
      <c r="B17" s="55" t="s">
        <v>31</v>
      </c>
      <c r="C17" s="4" t="s">
        <v>30</v>
      </c>
      <c r="D17" s="54">
        <v>41</v>
      </c>
      <c r="E17" s="53">
        <v>0.23</v>
      </c>
      <c r="F17" s="50"/>
      <c r="G17" s="52">
        <v>1.5</v>
      </c>
      <c r="H17" s="52">
        <v>11</v>
      </c>
      <c r="I17" s="52">
        <v>16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2"/>
      <c r="B18" s="4" t="s">
        <v>29</v>
      </c>
      <c r="C18" s="4" t="s">
        <v>28</v>
      </c>
      <c r="D18" s="54">
        <v>20</v>
      </c>
      <c r="E18" s="53">
        <v>0.23</v>
      </c>
      <c r="F18" s="50"/>
      <c r="G18" s="52">
        <v>2.5</v>
      </c>
      <c r="H18" s="52">
        <v>13</v>
      </c>
      <c r="I18" s="52">
        <v>18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"/>
      <c r="B19" s="4" t="s">
        <v>6</v>
      </c>
      <c r="C19" s="43"/>
      <c r="D19" s="43"/>
      <c r="E19" s="51">
        <f>AVERAGE(E15:F18)</f>
        <v>0.20749999999999999</v>
      </c>
      <c r="F19" s="50"/>
      <c r="G19" s="49">
        <f>AVERAGE(G15:G18)</f>
        <v>2.25</v>
      </c>
      <c r="H19" s="49">
        <f>AVERAGE(H15:H18)</f>
        <v>11</v>
      </c>
      <c r="I19" s="49">
        <f>AVERAGE(I15:I18)</f>
        <v>17.5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/>
      <c r="B20" s="48"/>
      <c r="C20" s="43"/>
      <c r="D20" s="43"/>
      <c r="E20" s="43"/>
      <c r="F20" s="2"/>
      <c r="G20" s="44"/>
      <c r="H20" s="44"/>
      <c r="I20" s="4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>
      <c r="A21" s="2"/>
      <c r="B21" s="4" t="s">
        <v>27</v>
      </c>
      <c r="C21" s="4"/>
      <c r="D21" s="4"/>
      <c r="E21" s="43"/>
      <c r="F21" s="2"/>
      <c r="G21" s="47"/>
      <c r="H21" s="46"/>
      <c r="I21" s="4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44" t="s">
        <v>26</v>
      </c>
      <c r="C22" s="4"/>
      <c r="D22" s="4"/>
      <c r="E22" s="43"/>
      <c r="F22" s="2"/>
      <c r="G22" s="42"/>
      <c r="H22" s="41"/>
      <c r="I22" s="4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39"/>
      <c r="H24" s="3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39"/>
      <c r="H25" s="3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39"/>
      <c r="H26" s="3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ACC4-B52C-4AA8-96CF-211567AC59E8}">
  <dimension ref="A2:Z1001"/>
  <sheetViews>
    <sheetView showGridLines="0" workbookViewId="0"/>
  </sheetViews>
  <sheetFormatPr defaultColWidth="14.42578125" defaultRowHeight="15" customHeight="1"/>
  <cols>
    <col min="1" max="1" width="3.5703125" style="1" customWidth="1"/>
    <col min="2" max="2" width="31.7109375" style="1" customWidth="1"/>
    <col min="3" max="3" width="12" style="1" customWidth="1"/>
    <col min="4" max="4" width="13.28515625" style="1" customWidth="1"/>
    <col min="5" max="5" width="9.5703125" style="1" customWidth="1"/>
    <col min="6" max="6" width="2.28515625" style="1" customWidth="1"/>
    <col min="7" max="9" width="15.7109375" style="1" customWidth="1"/>
    <col min="10" max="26" width="9.140625" style="1" customWidth="1"/>
    <col min="27" max="16384" width="14.42578125" style="1"/>
  </cols>
  <sheetData>
    <row r="2" spans="1:26" ht="30">
      <c r="A2" s="2"/>
      <c r="B2" s="27" t="s">
        <v>53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31" t="s">
        <v>52</v>
      </c>
      <c r="C3" s="27"/>
      <c r="D3" s="27"/>
      <c r="E3" s="27"/>
      <c r="F3" s="59"/>
      <c r="G3" s="59"/>
      <c r="H3" s="59"/>
      <c r="I3" s="59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>
      <c r="A4" s="2"/>
      <c r="B4" s="4" t="s">
        <v>22</v>
      </c>
      <c r="C4" s="30" t="s">
        <v>51</v>
      </c>
      <c r="D4" s="30"/>
      <c r="E4" s="30"/>
      <c r="F4" s="60"/>
      <c r="G4" s="60"/>
      <c r="H4" s="60"/>
      <c r="I4" s="60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>
      <c r="A5" s="2"/>
      <c r="B5" s="4" t="s">
        <v>20</v>
      </c>
      <c r="C5" s="62">
        <v>50</v>
      </c>
      <c r="D5" s="64"/>
      <c r="E5" s="64"/>
      <c r="F5" s="60"/>
      <c r="G5" s="60"/>
      <c r="H5" s="60"/>
      <c r="I5" s="60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2"/>
      <c r="B6" s="4" t="s">
        <v>19</v>
      </c>
      <c r="C6" s="63">
        <v>1</v>
      </c>
      <c r="D6" s="30"/>
      <c r="E6" s="30"/>
      <c r="F6" s="60"/>
      <c r="G6" s="60"/>
      <c r="H6" s="60"/>
      <c r="I6" s="6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2"/>
      <c r="B7" s="4" t="s">
        <v>38</v>
      </c>
      <c r="C7" s="62">
        <v>20</v>
      </c>
      <c r="D7" s="30"/>
      <c r="E7" s="30"/>
      <c r="F7" s="60"/>
      <c r="G7" s="60"/>
      <c r="H7" s="60"/>
      <c r="I7" s="6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2"/>
      <c r="B8" s="4" t="s">
        <v>37</v>
      </c>
      <c r="C8" s="62">
        <v>6.5</v>
      </c>
      <c r="D8" s="30"/>
      <c r="E8" s="30"/>
      <c r="F8" s="60"/>
      <c r="G8" s="60"/>
      <c r="H8" s="60"/>
      <c r="I8" s="6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2"/>
      <c r="B9" s="4" t="s">
        <v>50</v>
      </c>
      <c r="C9" s="62">
        <v>5</v>
      </c>
      <c r="D9" s="30"/>
      <c r="E9" s="30"/>
      <c r="F9" s="60"/>
      <c r="G9" s="60"/>
      <c r="H9" s="60"/>
      <c r="I9" s="6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2"/>
      <c r="B10" s="4" t="s">
        <v>15</v>
      </c>
      <c r="C10" s="62">
        <v>1</v>
      </c>
      <c r="D10" s="30"/>
      <c r="E10" s="30"/>
      <c r="F10" s="60"/>
      <c r="G10" s="60"/>
      <c r="H10" s="60"/>
      <c r="I10" s="6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2"/>
      <c r="B11" s="48" t="s">
        <v>49</v>
      </c>
      <c r="C11" s="61">
        <f>C9/C6</f>
        <v>5</v>
      </c>
      <c r="D11" s="48"/>
      <c r="E11" s="48"/>
      <c r="F11" s="60"/>
      <c r="G11" s="60"/>
      <c r="H11" s="60"/>
      <c r="I11" s="6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"/>
      <c r="B12" s="59" t="s">
        <v>48</v>
      </c>
      <c r="C12" s="59"/>
      <c r="D12" s="59"/>
      <c r="E12" s="59"/>
      <c r="F12" s="59"/>
      <c r="G12" s="59"/>
      <c r="H12" s="59"/>
      <c r="I12" s="5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2"/>
      <c r="B13" s="58" t="s">
        <v>47</v>
      </c>
      <c r="C13" s="58" t="s">
        <v>46</v>
      </c>
      <c r="D13" s="57" t="s">
        <v>45</v>
      </c>
      <c r="E13" s="57" t="s">
        <v>44</v>
      </c>
      <c r="F13" s="56"/>
      <c r="G13" s="56" t="s">
        <v>43</v>
      </c>
      <c r="H13" s="56" t="s">
        <v>42</v>
      </c>
      <c r="I13" s="56" t="s">
        <v>41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"/>
      <c r="B14" s="58"/>
      <c r="C14" s="58"/>
      <c r="D14" s="57" t="s">
        <v>40</v>
      </c>
      <c r="E14" s="57" t="s">
        <v>39</v>
      </c>
      <c r="F14" s="56"/>
      <c r="G14" s="56" t="s">
        <v>38</v>
      </c>
      <c r="H14" s="56" t="s">
        <v>37</v>
      </c>
      <c r="I14" s="56" t="s">
        <v>36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2"/>
      <c r="B15" s="4" t="s">
        <v>35</v>
      </c>
      <c r="C15" s="55" t="s">
        <v>34</v>
      </c>
      <c r="D15" s="54">
        <v>47</v>
      </c>
      <c r="E15" s="53">
        <v>0.19</v>
      </c>
      <c r="F15" s="50"/>
      <c r="G15" s="52">
        <v>2</v>
      </c>
      <c r="H15" s="52">
        <v>8</v>
      </c>
      <c r="I15" s="52">
        <v>16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/>
      <c r="B16" s="55" t="s">
        <v>33</v>
      </c>
      <c r="C16" s="4" t="s">
        <v>32</v>
      </c>
      <c r="D16" s="54">
        <v>68</v>
      </c>
      <c r="E16" s="53">
        <v>0.18</v>
      </c>
      <c r="F16" s="50"/>
      <c r="G16" s="52">
        <v>3</v>
      </c>
      <c r="H16" s="52">
        <v>12</v>
      </c>
      <c r="I16" s="52">
        <v>20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/>
      <c r="B17" s="55" t="s">
        <v>31</v>
      </c>
      <c r="C17" s="4" t="s">
        <v>30</v>
      </c>
      <c r="D17" s="54">
        <v>41</v>
      </c>
      <c r="E17" s="53">
        <v>0.23</v>
      </c>
      <c r="F17" s="50"/>
      <c r="G17" s="52">
        <v>1.5</v>
      </c>
      <c r="H17" s="52">
        <v>11</v>
      </c>
      <c r="I17" s="52">
        <v>16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2"/>
      <c r="B18" s="4" t="s">
        <v>29</v>
      </c>
      <c r="C18" s="4" t="s">
        <v>28</v>
      </c>
      <c r="D18" s="54">
        <v>20</v>
      </c>
      <c r="E18" s="53">
        <v>0.23</v>
      </c>
      <c r="F18" s="50"/>
      <c r="G18" s="52">
        <v>2.5</v>
      </c>
      <c r="H18" s="52">
        <v>13</v>
      </c>
      <c r="I18" s="52">
        <v>18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"/>
      <c r="B19" s="4" t="s">
        <v>6</v>
      </c>
      <c r="C19" s="43"/>
      <c r="D19" s="43"/>
      <c r="E19" s="51">
        <f>AVERAGE(E15:F18)</f>
        <v>0.20749999999999999</v>
      </c>
      <c r="F19" s="50"/>
      <c r="G19" s="49">
        <f>AVERAGE(G15:G18)</f>
        <v>2.25</v>
      </c>
      <c r="H19" s="49">
        <f>AVERAGE(H15:H18)</f>
        <v>11</v>
      </c>
      <c r="I19" s="49">
        <f>AVERAGE(I15:I18)</f>
        <v>17.5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/>
      <c r="B20" s="48"/>
      <c r="C20" s="43"/>
      <c r="D20" s="43"/>
      <c r="E20" s="43"/>
      <c r="F20" s="2"/>
      <c r="G20" s="44"/>
      <c r="H20" s="44"/>
      <c r="I20" s="4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>
      <c r="A21" s="2"/>
      <c r="B21" s="4" t="s">
        <v>27</v>
      </c>
      <c r="C21" s="4"/>
      <c r="D21" s="4"/>
      <c r="E21" s="43"/>
      <c r="F21" s="2"/>
      <c r="G21" s="70">
        <f>G26/C6</f>
        <v>44</v>
      </c>
      <c r="H21" s="69">
        <f>H26/C6</f>
        <v>70.5</v>
      </c>
      <c r="I21" s="68">
        <f>I19*C11</f>
        <v>87.5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44" t="s">
        <v>26</v>
      </c>
      <c r="C22" s="4"/>
      <c r="D22" s="4"/>
      <c r="E22" s="43"/>
      <c r="F22" s="2"/>
      <c r="G22" s="67" t="s">
        <v>56</v>
      </c>
      <c r="H22" s="66" t="s">
        <v>25</v>
      </c>
      <c r="I22" s="65" t="s">
        <v>25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 t="s">
        <v>55</v>
      </c>
      <c r="C24" s="2"/>
      <c r="D24" s="2"/>
      <c r="E24" s="2"/>
      <c r="F24" s="2"/>
      <c r="G24" s="39">
        <f>G19*C7</f>
        <v>45</v>
      </c>
      <c r="H24" s="39">
        <f>H19*C8</f>
        <v>71.5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 t="s">
        <v>2</v>
      </c>
      <c r="C25" s="2"/>
      <c r="D25" s="2"/>
      <c r="E25" s="2"/>
      <c r="F25" s="2"/>
      <c r="G25" s="39">
        <f>C10</f>
        <v>1</v>
      </c>
      <c r="H25" s="39">
        <f>G25</f>
        <v>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 t="s">
        <v>54</v>
      </c>
      <c r="C26" s="2"/>
      <c r="D26" s="2"/>
      <c r="E26" s="2"/>
      <c r="F26" s="2"/>
      <c r="G26" s="39">
        <f>G24-G25</f>
        <v>44</v>
      </c>
      <c r="H26" s="39">
        <f>H24-H25</f>
        <v>70.5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Trading Comps - Empty</vt:lpstr>
      <vt:lpstr>Trading Comps - Done</vt:lpstr>
      <vt:lpstr>Trans Comps - Empty</vt:lpstr>
      <vt:lpstr>Trans Comps - Done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WSP | Tuck Northrop</dc:creator>
  <cp:lastModifiedBy>WSP | Tuck Northrop</cp:lastModifiedBy>
  <dcterms:created xsi:type="dcterms:W3CDTF">2024-05-16T22:21:12Z</dcterms:created>
  <dcterms:modified xsi:type="dcterms:W3CDTF">2024-05-16T22:21:44Z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{085B6506-A0F0-41A2-97B0-E1A0D7963248}</vt:lpwstr>
  </property>
</Properties>
</file>