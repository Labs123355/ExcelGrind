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chael\Dropbox\Wall Street Prep\Seminar Materials\Trading Comps to Distribute\"/>
    </mc:Choice>
  </mc:AlternateContent>
  <xr:revisionPtr revIDLastSave="0" documentId="8_{017C83A4-A0E2-4230-BE3E-B15369E729D9}" xr6:coauthVersionLast="34" xr6:coauthVersionMax="34" xr10:uidLastSave="{00000000-0000-0000-0000-000000000000}"/>
  <bookViews>
    <workbookView xWindow="0" yWindow="0" windowWidth="23040" windowHeight="8808" xr2:uid="{00000000-000D-0000-FFFF-FFFF00000000}"/>
  </bookViews>
  <sheets>
    <sheet name="Sheet1" sheetId="1" r:id="rId1"/>
    <sheet name="Sheet2" sheetId="2" r:id="rId2"/>
    <sheet name="Sheet3" sheetId="3" r:id="rId3"/>
  </sheets>
  <calcPr calcId="179017" calcMode="autoNoTable" iterate="1"/>
</workbook>
</file>

<file path=xl/calcChain.xml><?xml version="1.0" encoding="utf-8"?>
<calcChain xmlns="http://schemas.openxmlformats.org/spreadsheetml/2006/main">
  <c r="E64" i="1" l="1"/>
  <c r="D64" i="1"/>
  <c r="E60" i="1"/>
  <c r="E58" i="1"/>
  <c r="E59" i="1" s="1"/>
  <c r="E72" i="1" s="1"/>
  <c r="D58" i="1"/>
  <c r="D59" i="1" s="1"/>
  <c r="D72" i="1" s="1"/>
  <c r="E73" i="1"/>
  <c r="D73" i="1"/>
  <c r="C73" i="1"/>
  <c r="E71" i="1"/>
  <c r="D71" i="1"/>
  <c r="F71" i="1" s="1"/>
  <c r="C59" i="1"/>
  <c r="C72" i="1" s="1"/>
  <c r="D56" i="1"/>
  <c r="E56" i="1" s="1"/>
  <c r="F56" i="1" s="1"/>
  <c r="G56" i="1" s="1"/>
  <c r="H56" i="1" s="1"/>
  <c r="D34" i="1"/>
  <c r="E34" i="1" s="1"/>
  <c r="F34" i="1" s="1"/>
  <c r="G34" i="1" s="1"/>
  <c r="H34" i="1" s="1"/>
  <c r="E24" i="1"/>
  <c r="D24" i="1"/>
  <c r="C24" i="1"/>
  <c r="E22" i="1"/>
  <c r="D22" i="1"/>
  <c r="E10" i="1"/>
  <c r="E12" i="1" s="1"/>
  <c r="E14" i="1" s="1"/>
  <c r="E16" i="1" s="1"/>
  <c r="E18" i="1" s="1"/>
  <c r="D10" i="1"/>
  <c r="D12" i="1" s="1"/>
  <c r="D14" i="1" s="1"/>
  <c r="D16" i="1" s="1"/>
  <c r="D18" i="1" s="1"/>
  <c r="C10" i="1"/>
  <c r="C12" i="1" s="1"/>
  <c r="C14" i="1" s="1"/>
  <c r="C16" i="1" s="1"/>
  <c r="C18" i="1" s="1"/>
  <c r="D7" i="1"/>
  <c r="E7" i="1" s="1"/>
  <c r="F7" i="1" s="1"/>
  <c r="G7" i="1" s="1"/>
  <c r="H7" i="1" s="1"/>
  <c r="F22" i="1" l="1"/>
  <c r="F8" i="1" s="1"/>
  <c r="F24" i="1"/>
  <c r="G24" i="1" s="1"/>
  <c r="H24" i="1" s="1"/>
  <c r="E61" i="1"/>
  <c r="E63" i="1" s="1"/>
  <c r="E65" i="1" s="1"/>
  <c r="E67" i="1" s="1"/>
  <c r="F73" i="1"/>
  <c r="G73" i="1" s="1"/>
  <c r="H73" i="1" s="1"/>
  <c r="C61" i="1"/>
  <c r="C63" i="1" s="1"/>
  <c r="C74" i="1" s="1"/>
  <c r="E74" i="1"/>
  <c r="F57" i="1"/>
  <c r="G71" i="1"/>
  <c r="H71" i="1" s="1"/>
  <c r="F72" i="1"/>
  <c r="G72" i="1" s="1"/>
  <c r="H72" i="1" s="1"/>
  <c r="D61" i="1"/>
  <c r="D63" i="1" s="1"/>
  <c r="F35" i="1"/>
  <c r="D23" i="1"/>
  <c r="G22" i="1"/>
  <c r="H22" i="1" s="1"/>
  <c r="E23" i="1"/>
  <c r="D25" i="1"/>
  <c r="E25" i="1"/>
  <c r="C23" i="1"/>
  <c r="C25" i="1"/>
  <c r="F11" i="1"/>
  <c r="C65" i="1" l="1"/>
  <c r="C67" i="1" s="1"/>
  <c r="G8" i="1"/>
  <c r="G11" i="1" s="1"/>
  <c r="D74" i="1"/>
  <c r="D65" i="1"/>
  <c r="D67" i="1" s="1"/>
  <c r="F60" i="1"/>
  <c r="F58" i="1"/>
  <c r="F59" i="1" s="1"/>
  <c r="G57" i="1"/>
  <c r="F74" i="1"/>
  <c r="G74" i="1" s="1"/>
  <c r="H74" i="1" s="1"/>
  <c r="G35" i="1"/>
  <c r="F23" i="1"/>
  <c r="G23" i="1" s="1"/>
  <c r="H23" i="1" s="1"/>
  <c r="F25" i="1"/>
  <c r="G25" i="1" s="1"/>
  <c r="H25" i="1" s="1"/>
  <c r="G9" i="1"/>
  <c r="G10" i="1" s="1"/>
  <c r="G12" i="1" s="1"/>
  <c r="G14" i="1" s="1"/>
  <c r="H8" i="1"/>
  <c r="H11" i="1" s="1"/>
  <c r="F61" i="1" l="1"/>
  <c r="F63" i="1" s="1"/>
  <c r="F64" i="1" s="1"/>
  <c r="F65" i="1" s="1"/>
  <c r="F67" i="1" s="1"/>
  <c r="G15" i="1"/>
  <c r="G16" i="1" s="1"/>
  <c r="G18" i="1" s="1"/>
  <c r="G58" i="1"/>
  <c r="G59" i="1" s="1"/>
  <c r="H57" i="1"/>
  <c r="G60" i="1"/>
  <c r="H35" i="1"/>
  <c r="F9" i="1"/>
  <c r="F10" i="1" s="1"/>
  <c r="F12" i="1" s="1"/>
  <c r="F14" i="1" s="1"/>
  <c r="F15" i="1" s="1"/>
  <c r="F16" i="1" s="1"/>
  <c r="F18" i="1" s="1"/>
  <c r="H9" i="1"/>
  <c r="H10" i="1" s="1"/>
  <c r="H12" i="1" s="1"/>
  <c r="H14" i="1" s="1"/>
  <c r="H15" i="1" s="1"/>
  <c r="H16" i="1" s="1"/>
  <c r="H18" i="1" s="1"/>
  <c r="G61" i="1" l="1"/>
  <c r="G63" i="1" s="1"/>
  <c r="H60" i="1"/>
  <c r="H58" i="1"/>
  <c r="H59" i="1" s="1"/>
  <c r="H61" i="1" l="1"/>
  <c r="H63" i="1" s="1"/>
  <c r="H64" i="1" s="1"/>
  <c r="H65" i="1" s="1"/>
  <c r="H67" i="1" s="1"/>
  <c r="G64" i="1"/>
  <c r="G65" i="1" s="1"/>
  <c r="G67" i="1" s="1"/>
</calcChain>
</file>

<file path=xl/sharedStrings.xml><?xml version="1.0" encoding="utf-8"?>
<sst xmlns="http://schemas.openxmlformats.org/spreadsheetml/2006/main" count="74" uniqueCount="34">
  <si>
    <t>Revenues</t>
  </si>
  <si>
    <t>COGS</t>
  </si>
  <si>
    <t>SG&amp;A</t>
  </si>
  <si>
    <t>Operating Income</t>
  </si>
  <si>
    <t>Pretax Income</t>
  </si>
  <si>
    <t>Net Income</t>
  </si>
  <si>
    <t>Diluted Shares Outstanding</t>
  </si>
  <si>
    <t>Diluted EPS</t>
  </si>
  <si>
    <t>Actuals</t>
  </si>
  <si>
    <t>Projected</t>
  </si>
  <si>
    <t>Gross Profit</t>
  </si>
  <si>
    <t>Taxes</t>
  </si>
  <si>
    <t>Revenue growth rate</t>
  </si>
  <si>
    <t>Gross profit margin</t>
  </si>
  <si>
    <t>SG&amp;A margin</t>
  </si>
  <si>
    <t>Tax rate</t>
  </si>
  <si>
    <t>Interest Expense</t>
  </si>
  <si>
    <t>Growth rates and ratios</t>
  </si>
  <si>
    <t>Nonrecurring items</t>
  </si>
  <si>
    <t>Forecast growth rate using the last two historical years' average</t>
  </si>
  <si>
    <t>Forecast GPM using the last three historical years' average</t>
  </si>
  <si>
    <t>2011 COGS Includes $14 inventory write-down</t>
  </si>
  <si>
    <t>2012 COGS includes $18 inventory write-down</t>
  </si>
  <si>
    <t>2012 SG&amp;A includes $12 litigation gain</t>
  </si>
  <si>
    <t>Normalized COGS</t>
  </si>
  <si>
    <t>Normalized SG&amp;A</t>
  </si>
  <si>
    <t>Normalized Taxes</t>
  </si>
  <si>
    <t>Normalized Net Income</t>
  </si>
  <si>
    <t>Normalized Diluted EPS</t>
  </si>
  <si>
    <t>2011 COGS excludes $14 inventory write-down</t>
  </si>
  <si>
    <t>2012 COGS excludes $18 inventory write-down</t>
  </si>
  <si>
    <t>2012 SG&amp;A excludes $12 litigation gain</t>
  </si>
  <si>
    <t>Forecast SG&amp;A margin using the last three historical years' average</t>
  </si>
  <si>
    <t>Forecast tax rate using the last three historical years'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</si>
</sst>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_);\(0.0%\);@_)"/>
    <numFmt numFmtId="165" formatCode="#,##0.0_);\(#,##0.0\);@_)"/>
    <numFmt numFmtId="166" formatCode="&quot;$&quot;#,##0.00_);\(&quot;$&quot;#,##0.00\);@_)"/>
    <numFmt numFmtId="167" formatCode="\•\ 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9" fontId="0" fillId="0" borderId="0" xfId="0" applyNumberFormat="1"/>
    <xf numFmtId="164" fontId="3" fillId="0" borderId="0" xfId="0" applyNumberFormat="1" applyFont="1"/>
    <xf numFmtId="0" fontId="0" fillId="0" borderId="0" xfId="0" applyBorder="1"/>
    <xf numFmtId="165" fontId="0" fillId="0" borderId="0" xfId="0" applyNumberFormat="1" applyFont="1" applyBorder="1"/>
    <xf numFmtId="165" fontId="2" fillId="0" borderId="0" xfId="0" applyNumberFormat="1" applyFont="1" applyBorder="1"/>
    <xf numFmtId="165" fontId="2" fillId="0" borderId="0" xfId="0" applyNumberFormat="1" applyFont="1"/>
    <xf numFmtId="165" fontId="3" fillId="0" borderId="0" xfId="0" applyNumberFormat="1" applyFont="1" applyBorder="1"/>
    <xf numFmtId="165" fontId="2" fillId="0" borderId="1" xfId="0" applyNumberFormat="1" applyFont="1" applyBorder="1"/>
    <xf numFmtId="165" fontId="0" fillId="0" borderId="1" xfId="0" applyNumberFormat="1" applyFont="1" applyBorder="1"/>
    <xf numFmtId="165" fontId="3" fillId="0" borderId="1" xfId="0" applyNumberFormat="1" applyFont="1" applyBorder="1"/>
    <xf numFmtId="166" fontId="3" fillId="0" borderId="0" xfId="0" applyNumberFormat="1" applyFont="1"/>
    <xf numFmtId="0" fontId="0" fillId="0" borderId="1" xfId="0" applyBorder="1"/>
    <xf numFmtId="0" fontId="1" fillId="0" borderId="3" xfId="0" applyFont="1" applyBorder="1" applyAlignment="1">
      <alignment horizontal="centerContinuous"/>
    </xf>
    <xf numFmtId="0" fontId="1" fillId="0" borderId="2" xfId="0" applyFont="1" applyBorder="1" applyAlignment="1">
      <alignment horizontal="centerContinuous"/>
    </xf>
    <xf numFmtId="0" fontId="1" fillId="0" borderId="4" xfId="0" applyFont="1" applyBorder="1" applyAlignment="1">
      <alignment horizontal="centerContinuous"/>
    </xf>
    <xf numFmtId="0" fontId="1" fillId="2" borderId="3" xfId="0" applyFont="1" applyFill="1" applyBorder="1" applyAlignment="1">
      <alignment horizontal="centerContinuous"/>
    </xf>
    <xf numFmtId="0" fontId="1" fillId="2" borderId="2" xfId="0" applyFont="1" applyFill="1" applyBorder="1" applyAlignment="1">
      <alignment horizontal="centerContinuous"/>
    </xf>
    <xf numFmtId="0" fontId="1" fillId="2" borderId="4" xfId="0" applyFont="1" applyFill="1" applyBorder="1" applyAlignment="1">
      <alignment horizontal="centerContinuous"/>
    </xf>
    <xf numFmtId="0" fontId="1" fillId="0" borderId="0" xfId="0" applyFont="1"/>
    <xf numFmtId="165" fontId="4" fillId="0" borderId="0" xfId="0" applyNumberFormat="1" applyFont="1" applyBorder="1"/>
    <xf numFmtId="164" fontId="0" fillId="0" borderId="0" xfId="0" applyNumberFormat="1" applyBorder="1"/>
    <xf numFmtId="0" fontId="1" fillId="0" borderId="1" xfId="0" applyFont="1" applyBorder="1"/>
    <xf numFmtId="164" fontId="3" fillId="0" borderId="0" xfId="0" applyNumberFormat="1" applyFont="1" applyBorder="1"/>
    <xf numFmtId="167" fontId="0" fillId="0" borderId="0" xfId="0" applyNumberFormat="1"/>
    <xf numFmtId="167" fontId="0" fillId="0" borderId="0" xfId="0" applyNumberFormat="1" applyBorder="1"/>
    <xf numFmtId="165" fontId="2" fillId="0" borderId="5" xfId="0" applyNumberFormat="1" applyFont="1" applyBorder="1"/>
    <xf numFmtId="165" fontId="0" fillId="0" borderId="5" xfId="0" applyNumberFormat="1" applyFont="1" applyBorder="1"/>
    <xf numFmtId="165" fontId="2" fillId="0" borderId="6" xfId="0" applyNumberFormat="1" applyFont="1" applyBorder="1"/>
    <xf numFmtId="165" fontId="0" fillId="0" borderId="6" xfId="0" applyNumberFormat="1" applyFont="1" applyBorder="1"/>
    <xf numFmtId="165" fontId="3" fillId="0" borderId="6" xfId="0" applyNumberFormat="1" applyFont="1" applyBorder="1"/>
    <xf numFmtId="165" fontId="4" fillId="0" borderId="6" xfId="0" applyNumberFormat="1" applyFont="1" applyBorder="1"/>
    <xf numFmtId="166" fontId="3" fillId="0" borderId="6" xfId="0" applyNumberFormat="1" applyFont="1" applyBorder="1"/>
    <xf numFmtId="164" fontId="3" fillId="0" borderId="6" xfId="0" applyNumberFormat="1" applyFont="1" applyBorder="1"/>
    <xf numFmtId="164" fontId="0" fillId="0" borderId="6" xfId="0" applyNumberFormat="1" applyBorder="1"/>
    <xf numFmtId="165" fontId="2" fillId="3" borderId="6" xfId="0" applyNumberFormat="1" applyFont="1" applyFill="1" applyBorder="1"/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R79"/>
  <sheetViews>
    <sheetView showGridLines="0" tabSelected="1" workbookViewId="0">
      <selection activeCell="B1" sqref="B1"/>
    </sheetView>
  </sheetViews>
  <sheetFormatPr defaultRowHeight="14.4" x14ac:dyDescent="0.55000000000000004"/>
  <cols>
    <col min="2" max="2" width="25.68359375" bestFit="1" customWidth="1"/>
  </cols>
  <sheetData>
    <row r="1" spans="2:9" x14ac:dyDescent="0.55000000000000004">
      <c r="C1" s="3"/>
      <c r="D1" s="3"/>
      <c r="E1" s="3"/>
      <c r="F1" s="3"/>
      <c r="G1" s="3"/>
      <c r="H1" s="3"/>
    </row>
    <row r="2" spans="2:9" x14ac:dyDescent="0.55000000000000004">
      <c r="C2" s="3"/>
      <c r="D2" s="3"/>
      <c r="E2" s="3"/>
      <c r="F2" s="3"/>
      <c r="G2" s="3"/>
      <c r="H2" s="3"/>
    </row>
    <row r="3" spans="2:9" x14ac:dyDescent="0.55000000000000004">
      <c r="C3" s="3"/>
      <c r="D3" s="3"/>
      <c r="E3" s="3"/>
      <c r="F3" s="3"/>
      <c r="G3" s="3"/>
      <c r="H3" s="3"/>
    </row>
    <row r="4" spans="2:9" x14ac:dyDescent="0.55000000000000004">
      <c r="C4" s="3"/>
      <c r="D4" s="3"/>
      <c r="E4" s="3"/>
      <c r="F4" s="3"/>
      <c r="G4" s="3"/>
      <c r="H4" s="3"/>
    </row>
    <row r="5" spans="2:9" x14ac:dyDescent="0.55000000000000004">
      <c r="C5" s="3"/>
      <c r="D5" s="3"/>
      <c r="E5" s="3"/>
      <c r="F5" s="3"/>
      <c r="G5" s="3"/>
      <c r="H5" s="3"/>
    </row>
    <row r="6" spans="2:9" x14ac:dyDescent="0.55000000000000004">
      <c r="C6" s="13" t="s">
        <v>8</v>
      </c>
      <c r="D6" s="14"/>
      <c r="E6" s="15"/>
      <c r="F6" s="16" t="s">
        <v>9</v>
      </c>
      <c r="G6" s="17"/>
      <c r="H6" s="18"/>
      <c r="I6" s="3"/>
    </row>
    <row r="7" spans="2:9" x14ac:dyDescent="0.55000000000000004">
      <c r="C7" s="12">
        <v>2010</v>
      </c>
      <c r="D7" s="12">
        <f>C7+1</f>
        <v>2011</v>
      </c>
      <c r="E7" s="12">
        <f>D7+1</f>
        <v>2012</v>
      </c>
      <c r="F7" s="12">
        <f>E7+1</f>
        <v>2013</v>
      </c>
      <c r="G7" s="12">
        <f>F7+1</f>
        <v>2014</v>
      </c>
      <c r="H7" s="12">
        <f>G7+1</f>
        <v>2015</v>
      </c>
    </row>
    <row r="8" spans="2:9" x14ac:dyDescent="0.55000000000000004">
      <c r="B8" t="s">
        <v>0</v>
      </c>
      <c r="C8" s="5">
        <v>124</v>
      </c>
      <c r="D8" s="5">
        <v>135</v>
      </c>
      <c r="E8" s="5">
        <v>148</v>
      </c>
      <c r="F8" s="4">
        <f>E8*(1+F22)</f>
        <v>161.69044205495817</v>
      </c>
      <c r="G8" s="4">
        <f>F8*(1+G22)</f>
        <v>176.64729089140397</v>
      </c>
      <c r="H8" s="4">
        <f>G8*(1+H22)</f>
        <v>192.987692919202</v>
      </c>
    </row>
    <row r="9" spans="2:9" x14ac:dyDescent="0.55000000000000004">
      <c r="B9" t="s">
        <v>1</v>
      </c>
      <c r="C9" s="8">
        <v>54</v>
      </c>
      <c r="D9" s="8">
        <v>71</v>
      </c>
      <c r="E9" s="8">
        <v>74</v>
      </c>
      <c r="F9" s="9">
        <f>F8*(1-F23)</f>
        <v>78.765332027727908</v>
      </c>
      <c r="G9" s="9">
        <f>G8*(1-G23)</f>
        <v>86.05136050114109</v>
      </c>
      <c r="H9" s="9">
        <f>H8*(1-H23)</f>
        <v>94.011368370676166</v>
      </c>
    </row>
    <row r="10" spans="2:9" x14ac:dyDescent="0.55000000000000004">
      <c r="B10" t="s">
        <v>10</v>
      </c>
      <c r="C10" s="7">
        <f t="shared" ref="C10:H10" si="0">C8-C9</f>
        <v>70</v>
      </c>
      <c r="D10" s="7">
        <f t="shared" si="0"/>
        <v>64</v>
      </c>
      <c r="E10" s="7">
        <f t="shared" si="0"/>
        <v>74</v>
      </c>
      <c r="F10" s="7">
        <f t="shared" si="0"/>
        <v>82.925110027230261</v>
      </c>
      <c r="G10" s="7">
        <f t="shared" si="0"/>
        <v>90.595930390262879</v>
      </c>
      <c r="H10" s="7">
        <f t="shared" si="0"/>
        <v>98.976324548525838</v>
      </c>
    </row>
    <row r="11" spans="2:9" x14ac:dyDescent="0.55000000000000004">
      <c r="B11" t="s">
        <v>2</v>
      </c>
      <c r="C11" s="8">
        <v>18</v>
      </c>
      <c r="D11" s="8">
        <v>20</v>
      </c>
      <c r="E11" s="8">
        <v>12</v>
      </c>
      <c r="F11" s="10">
        <f>F8*F24</f>
        <v>20.178456202505867</v>
      </c>
      <c r="G11" s="10">
        <f>G8*G24</f>
        <v>22.045023671417475</v>
      </c>
      <c r="H11" s="10">
        <f>H8*H24</f>
        <v>24.084254206375057</v>
      </c>
    </row>
    <row r="12" spans="2:9" s="19" customFormat="1" x14ac:dyDescent="0.55000000000000004">
      <c r="B12" s="19" t="s">
        <v>3</v>
      </c>
      <c r="C12" s="20">
        <f t="shared" ref="C12:H12" si="1">C10-C11</f>
        <v>52</v>
      </c>
      <c r="D12" s="20">
        <f t="shared" si="1"/>
        <v>44</v>
      </c>
      <c r="E12" s="20">
        <f t="shared" si="1"/>
        <v>62</v>
      </c>
      <c r="F12" s="20">
        <f t="shared" si="1"/>
        <v>62.74665382472439</v>
      </c>
      <c r="G12" s="20">
        <f t="shared" si="1"/>
        <v>68.550906718845397</v>
      </c>
      <c r="H12" s="20">
        <f t="shared" si="1"/>
        <v>74.892070342150788</v>
      </c>
    </row>
    <row r="13" spans="2:9" x14ac:dyDescent="0.55000000000000004">
      <c r="B13" t="s">
        <v>16</v>
      </c>
      <c r="C13" s="8">
        <v>5</v>
      </c>
      <c r="D13" s="8">
        <v>5</v>
      </c>
      <c r="E13" s="8">
        <v>5</v>
      </c>
      <c r="F13" s="8">
        <v>5</v>
      </c>
      <c r="G13" s="8">
        <v>5</v>
      </c>
      <c r="H13" s="8">
        <v>5</v>
      </c>
    </row>
    <row r="14" spans="2:9" x14ac:dyDescent="0.55000000000000004">
      <c r="B14" t="s">
        <v>4</v>
      </c>
      <c r="C14" s="7">
        <f t="shared" ref="C14:H14" si="2">C12-C13</f>
        <v>47</v>
      </c>
      <c r="D14" s="7">
        <f t="shared" si="2"/>
        <v>39</v>
      </c>
      <c r="E14" s="7">
        <f t="shared" si="2"/>
        <v>57</v>
      </c>
      <c r="F14" s="7">
        <f t="shared" si="2"/>
        <v>57.74665382472439</v>
      </c>
      <c r="G14" s="7">
        <f t="shared" si="2"/>
        <v>63.550906718845397</v>
      </c>
      <c r="H14" s="7">
        <f t="shared" si="2"/>
        <v>69.892070342150788</v>
      </c>
    </row>
    <row r="15" spans="2:9" x14ac:dyDescent="0.55000000000000004">
      <c r="B15" t="s">
        <v>11</v>
      </c>
      <c r="C15" s="8">
        <v>11</v>
      </c>
      <c r="D15" s="8">
        <v>13</v>
      </c>
      <c r="E15" s="8">
        <v>16</v>
      </c>
      <c r="F15" s="10">
        <f>F14*F25</f>
        <v>16.32454864872139</v>
      </c>
      <c r="G15" s="10">
        <f>G14*G25</f>
        <v>17.965367682619974</v>
      </c>
      <c r="H15" s="10">
        <f>H14*H25</f>
        <v>19.757967378047354</v>
      </c>
    </row>
    <row r="16" spans="2:9" s="19" customFormat="1" x14ac:dyDescent="0.55000000000000004">
      <c r="B16" s="19" t="s">
        <v>5</v>
      </c>
      <c r="C16" s="20">
        <f t="shared" ref="C16:H16" si="3">C14-C15</f>
        <v>36</v>
      </c>
      <c r="D16" s="20">
        <f t="shared" si="3"/>
        <v>26</v>
      </c>
      <c r="E16" s="20">
        <f t="shared" si="3"/>
        <v>41</v>
      </c>
      <c r="F16" s="20">
        <f t="shared" si="3"/>
        <v>41.422105176003001</v>
      </c>
      <c r="G16" s="20">
        <f t="shared" si="3"/>
        <v>45.585539036225427</v>
      </c>
      <c r="H16" s="20">
        <f t="shared" si="3"/>
        <v>50.134102964103434</v>
      </c>
    </row>
    <row r="17" spans="2:9" s="19" customFormat="1" x14ac:dyDescent="0.55000000000000004">
      <c r="C17" s="20"/>
      <c r="D17" s="20"/>
      <c r="E17" s="20"/>
      <c r="F17" s="20"/>
      <c r="G17" s="20"/>
      <c r="H17" s="20"/>
    </row>
    <row r="18" spans="2:9" x14ac:dyDescent="0.55000000000000004">
      <c r="B18" t="s">
        <v>7</v>
      </c>
      <c r="C18" s="11">
        <f t="shared" ref="C18:H18" si="4">C16/C19</f>
        <v>0.36</v>
      </c>
      <c r="D18" s="11">
        <f t="shared" si="4"/>
        <v>0.26</v>
      </c>
      <c r="E18" s="11">
        <f t="shared" si="4"/>
        <v>0.41</v>
      </c>
      <c r="F18" s="11">
        <f t="shared" si="4"/>
        <v>0.41422105176002999</v>
      </c>
      <c r="G18" s="11">
        <f t="shared" si="4"/>
        <v>0.45585539036225425</v>
      </c>
      <c r="H18" s="11">
        <f t="shared" si="4"/>
        <v>0.50134102964103433</v>
      </c>
    </row>
    <row r="19" spans="2:9" x14ac:dyDescent="0.55000000000000004">
      <c r="B19" t="s">
        <v>6</v>
      </c>
      <c r="C19" s="6">
        <v>100</v>
      </c>
      <c r="D19" s="6">
        <v>100</v>
      </c>
      <c r="E19" s="6">
        <v>100</v>
      </c>
      <c r="F19" s="6">
        <v>100</v>
      </c>
      <c r="G19" s="6">
        <v>100</v>
      </c>
      <c r="H19" s="6">
        <v>100</v>
      </c>
    </row>
    <row r="21" spans="2:9" x14ac:dyDescent="0.55000000000000004">
      <c r="B21" s="22" t="s">
        <v>17</v>
      </c>
      <c r="C21" s="12"/>
      <c r="D21" s="12"/>
      <c r="E21" s="12"/>
      <c r="F21" s="12"/>
      <c r="G21" s="12"/>
      <c r="H21" s="12"/>
    </row>
    <row r="22" spans="2:9" x14ac:dyDescent="0.55000000000000004">
      <c r="B22" s="3" t="s">
        <v>12</v>
      </c>
      <c r="C22" s="21"/>
      <c r="D22" s="21">
        <f>D8/C8-1</f>
        <v>8.870967741935476E-2</v>
      </c>
      <c r="E22" s="21">
        <f>E8/D8-1</f>
        <v>9.6296296296296324E-2</v>
      </c>
      <c r="F22" s="23">
        <f>AVERAGE(D22:E22)</f>
        <v>9.2502986857825542E-2</v>
      </c>
      <c r="G22" s="23">
        <f t="shared" ref="G22:H25" si="5">F22</f>
        <v>9.2502986857825542E-2</v>
      </c>
      <c r="H22" s="23">
        <f t="shared" si="5"/>
        <v>9.2502986857825542E-2</v>
      </c>
      <c r="I22" t="s">
        <v>19</v>
      </c>
    </row>
    <row r="23" spans="2:9" x14ac:dyDescent="0.55000000000000004">
      <c r="B23" t="s">
        <v>13</v>
      </c>
      <c r="C23" s="2">
        <f>C10/C8</f>
        <v>0.56451612903225812</v>
      </c>
      <c r="D23" s="2">
        <f>D10/D8</f>
        <v>0.47407407407407409</v>
      </c>
      <c r="E23" s="2">
        <f>E10/E8</f>
        <v>0.5</v>
      </c>
      <c r="F23" s="2">
        <f>AVERAGE(C23:E23)</f>
        <v>0.51286340103544414</v>
      </c>
      <c r="G23" s="2">
        <f t="shared" si="5"/>
        <v>0.51286340103544414</v>
      </c>
      <c r="H23" s="2">
        <f t="shared" si="5"/>
        <v>0.51286340103544414</v>
      </c>
      <c r="I23" t="s">
        <v>20</v>
      </c>
    </row>
    <row r="24" spans="2:9" x14ac:dyDescent="0.55000000000000004">
      <c r="B24" t="s">
        <v>14</v>
      </c>
      <c r="C24" s="2">
        <f>C11/C8</f>
        <v>0.14516129032258066</v>
      </c>
      <c r="D24" s="2">
        <f>D11/D8</f>
        <v>0.14814814814814814</v>
      </c>
      <c r="E24" s="2">
        <f>E11/E8</f>
        <v>8.1081081081081086E-2</v>
      </c>
      <c r="F24" s="2">
        <f>AVERAGE(C24:E24)</f>
        <v>0.12479683985060329</v>
      </c>
      <c r="G24" s="2">
        <f t="shared" si="5"/>
        <v>0.12479683985060329</v>
      </c>
      <c r="H24" s="2">
        <f t="shared" si="5"/>
        <v>0.12479683985060329</v>
      </c>
      <c r="I24" t="s">
        <v>32</v>
      </c>
    </row>
    <row r="25" spans="2:9" x14ac:dyDescent="0.55000000000000004">
      <c r="B25" t="s">
        <v>15</v>
      </c>
      <c r="C25" s="2">
        <f>C15/C14</f>
        <v>0.23404255319148937</v>
      </c>
      <c r="D25" s="2">
        <f>D15/D14</f>
        <v>0.33333333333333331</v>
      </c>
      <c r="E25" s="2">
        <f>E15/E14</f>
        <v>0.2807017543859649</v>
      </c>
      <c r="F25" s="2">
        <f>AVERAGE(C25:E25)</f>
        <v>0.28269254697026253</v>
      </c>
      <c r="G25" s="2">
        <f t="shared" si="5"/>
        <v>0.28269254697026253</v>
      </c>
      <c r="H25" s="2">
        <f t="shared" si="5"/>
        <v>0.28269254697026253</v>
      </c>
      <c r="I25" t="s">
        <v>33</v>
      </c>
    </row>
    <row r="27" spans="2:9" x14ac:dyDescent="0.55000000000000004">
      <c r="B27" s="22" t="s">
        <v>18</v>
      </c>
      <c r="C27" s="12"/>
      <c r="D27" s="12"/>
      <c r="E27" s="12"/>
      <c r="F27" s="12"/>
      <c r="G27" s="12"/>
      <c r="H27" s="12"/>
    </row>
    <row r="28" spans="2:9" x14ac:dyDescent="0.55000000000000004">
      <c r="B28" s="25" t="s">
        <v>21</v>
      </c>
      <c r="C28" s="3"/>
      <c r="D28" s="3"/>
      <c r="E28" s="3"/>
      <c r="F28" s="3"/>
      <c r="G28" s="3"/>
      <c r="H28" s="3"/>
    </row>
    <row r="29" spans="2:9" x14ac:dyDescent="0.55000000000000004">
      <c r="B29" s="24" t="s">
        <v>22</v>
      </c>
    </row>
    <row r="30" spans="2:9" x14ac:dyDescent="0.55000000000000004">
      <c r="B30" s="24" t="s">
        <v>23</v>
      </c>
    </row>
    <row r="33" spans="2:9" x14ac:dyDescent="0.55000000000000004">
      <c r="C33" s="13" t="s">
        <v>8</v>
      </c>
      <c r="D33" s="14"/>
      <c r="E33" s="15"/>
      <c r="F33" s="16" t="s">
        <v>9</v>
      </c>
      <c r="G33" s="17"/>
      <c r="H33" s="18"/>
      <c r="I33" s="3"/>
    </row>
    <row r="34" spans="2:9" x14ac:dyDescent="0.55000000000000004">
      <c r="C34" s="12">
        <v>2010</v>
      </c>
      <c r="D34" s="12">
        <f>C34+1</f>
        <v>2011</v>
      </c>
      <c r="E34" s="12">
        <f>D34+1</f>
        <v>2012</v>
      </c>
      <c r="F34" s="12">
        <f>E34+1</f>
        <v>2013</v>
      </c>
      <c r="G34" s="12">
        <f>F34+1</f>
        <v>2014</v>
      </c>
      <c r="H34" s="12">
        <f>G34+1</f>
        <v>2015</v>
      </c>
    </row>
    <row r="35" spans="2:9" x14ac:dyDescent="0.55000000000000004">
      <c r="B35" t="s">
        <v>0</v>
      </c>
      <c r="C35" s="26">
        <v>124</v>
      </c>
      <c r="D35" s="26">
        <v>135</v>
      </c>
      <c r="E35" s="26">
        <v>148</v>
      </c>
      <c r="F35" s="27">
        <f>E35*(1+F49)</f>
        <v>148</v>
      </c>
      <c r="G35" s="27">
        <f>F35*(1+G49)</f>
        <v>148</v>
      </c>
      <c r="H35" s="27">
        <f>G35*(1+H49)</f>
        <v>148</v>
      </c>
    </row>
    <row r="36" spans="2:9" x14ac:dyDescent="0.55000000000000004">
      <c r="B36" s="3" t="s">
        <v>24</v>
      </c>
      <c r="C36" s="28"/>
      <c r="D36" s="28"/>
      <c r="E36" s="28"/>
      <c r="F36" s="29"/>
      <c r="G36" s="29"/>
      <c r="H36" s="29"/>
      <c r="I36" s="3"/>
    </row>
    <row r="37" spans="2:9" x14ac:dyDescent="0.55000000000000004">
      <c r="B37" s="3" t="s">
        <v>10</v>
      </c>
      <c r="C37" s="30"/>
      <c r="D37" s="30"/>
      <c r="E37" s="30"/>
      <c r="F37" s="30"/>
      <c r="G37" s="30"/>
      <c r="H37" s="30"/>
      <c r="I37" s="3"/>
    </row>
    <row r="38" spans="2:9" x14ac:dyDescent="0.55000000000000004">
      <c r="B38" t="s">
        <v>25</v>
      </c>
      <c r="C38" s="28"/>
      <c r="D38" s="28"/>
      <c r="E38" s="28"/>
      <c r="F38" s="30"/>
      <c r="G38" s="30"/>
      <c r="H38" s="30"/>
    </row>
    <row r="39" spans="2:9" x14ac:dyDescent="0.55000000000000004">
      <c r="B39" s="19" t="s">
        <v>3</v>
      </c>
      <c r="C39" s="31"/>
      <c r="D39" s="31"/>
      <c r="E39" s="31"/>
      <c r="F39" s="31"/>
      <c r="G39" s="31"/>
      <c r="H39" s="31"/>
      <c r="I39" s="19"/>
    </row>
    <row r="40" spans="2:9" x14ac:dyDescent="0.55000000000000004">
      <c r="B40" t="s">
        <v>16</v>
      </c>
      <c r="C40" s="28"/>
      <c r="D40" s="28"/>
      <c r="E40" s="28"/>
      <c r="F40" s="28"/>
      <c r="G40" s="28"/>
      <c r="H40" s="28"/>
    </row>
    <row r="41" spans="2:9" x14ac:dyDescent="0.55000000000000004">
      <c r="B41" t="s">
        <v>4</v>
      </c>
      <c r="C41" s="30"/>
      <c r="D41" s="30"/>
      <c r="E41" s="30"/>
      <c r="F41" s="30"/>
      <c r="G41" s="30"/>
      <c r="H41" s="30"/>
    </row>
    <row r="42" spans="2:9" x14ac:dyDescent="0.55000000000000004">
      <c r="B42" t="s">
        <v>26</v>
      </c>
      <c r="C42" s="28"/>
      <c r="D42" s="28"/>
      <c r="E42" s="28"/>
      <c r="F42" s="30"/>
      <c r="G42" s="30"/>
      <c r="H42" s="30"/>
    </row>
    <row r="43" spans="2:9" x14ac:dyDescent="0.55000000000000004">
      <c r="B43" s="19" t="s">
        <v>27</v>
      </c>
      <c r="C43" s="31"/>
      <c r="D43" s="31"/>
      <c r="E43" s="31"/>
      <c r="F43" s="31"/>
      <c r="G43" s="31"/>
      <c r="H43" s="31"/>
      <c r="I43" s="19"/>
    </row>
    <row r="44" spans="2:9" x14ac:dyDescent="0.55000000000000004">
      <c r="B44" s="19"/>
      <c r="C44" s="20"/>
      <c r="D44" s="20"/>
      <c r="E44" s="20"/>
      <c r="F44" s="20"/>
      <c r="G44" s="20"/>
      <c r="H44" s="20"/>
      <c r="I44" s="19"/>
    </row>
    <row r="45" spans="2:9" x14ac:dyDescent="0.55000000000000004">
      <c r="B45" t="s">
        <v>28</v>
      </c>
      <c r="C45" s="32"/>
      <c r="D45" s="32"/>
      <c r="E45" s="32"/>
      <c r="F45" s="32"/>
      <c r="G45" s="32"/>
      <c r="H45" s="32"/>
    </row>
    <row r="46" spans="2:9" x14ac:dyDescent="0.55000000000000004">
      <c r="B46" t="s">
        <v>6</v>
      </c>
      <c r="C46" s="6">
        <v>100</v>
      </c>
      <c r="D46" s="6">
        <v>100</v>
      </c>
      <c r="E46" s="6">
        <v>100</v>
      </c>
      <c r="F46" s="6">
        <v>100</v>
      </c>
      <c r="G46" s="6">
        <v>100</v>
      </c>
      <c r="H46" s="6">
        <v>100</v>
      </c>
    </row>
    <row r="48" spans="2:9" x14ac:dyDescent="0.55000000000000004">
      <c r="B48" s="22" t="s">
        <v>17</v>
      </c>
      <c r="C48" s="12"/>
      <c r="D48" s="3"/>
      <c r="E48" s="3"/>
      <c r="F48" s="3"/>
      <c r="G48" s="3"/>
      <c r="H48" s="3"/>
    </row>
    <row r="49" spans="2:17" x14ac:dyDescent="0.55000000000000004">
      <c r="B49" s="3" t="s">
        <v>12</v>
      </c>
      <c r="C49" s="21"/>
      <c r="D49" s="34"/>
      <c r="E49" s="34"/>
      <c r="F49" s="33"/>
      <c r="G49" s="33"/>
      <c r="H49" s="33"/>
      <c r="I49" t="s">
        <v>19</v>
      </c>
    </row>
    <row r="50" spans="2:17" x14ac:dyDescent="0.55000000000000004">
      <c r="B50" t="s">
        <v>13</v>
      </c>
      <c r="C50" s="33"/>
      <c r="D50" s="33"/>
      <c r="E50" s="33"/>
      <c r="F50" s="33"/>
      <c r="G50" s="33"/>
      <c r="H50" s="33"/>
      <c r="I50" t="s">
        <v>20</v>
      </c>
    </row>
    <row r="51" spans="2:17" x14ac:dyDescent="0.55000000000000004">
      <c r="B51" t="s">
        <v>14</v>
      </c>
      <c r="C51" s="33"/>
      <c r="D51" s="33"/>
      <c r="E51" s="33"/>
      <c r="F51" s="33"/>
      <c r="G51" s="33"/>
      <c r="H51" s="33"/>
      <c r="I51" t="s">
        <v>32</v>
      </c>
    </row>
    <row r="52" spans="2:17" x14ac:dyDescent="0.55000000000000004">
      <c r="B52" t="s">
        <v>15</v>
      </c>
      <c r="C52" s="33"/>
      <c r="D52" s="33"/>
      <c r="E52" s="33"/>
      <c r="F52" s="33"/>
      <c r="G52" s="33"/>
      <c r="H52" s="33"/>
      <c r="I52" t="s">
        <v>33</v>
      </c>
    </row>
    <row r="55" spans="2:17" x14ac:dyDescent="0.55000000000000004">
      <c r="C55" s="13" t="s">
        <v>8</v>
      </c>
      <c r="D55" s="14"/>
      <c r="E55" s="15"/>
      <c r="F55" s="16" t="s">
        <v>9</v>
      </c>
      <c r="G55" s="17"/>
      <c r="H55" s="18"/>
      <c r="I55" s="3"/>
    </row>
    <row r="56" spans="2:17" x14ac:dyDescent="0.55000000000000004">
      <c r="C56" s="12">
        <v>2010</v>
      </c>
      <c r="D56" s="12">
        <f>C56+1</f>
        <v>2011</v>
      </c>
      <c r="E56" s="12">
        <f>D56+1</f>
        <v>2012</v>
      </c>
      <c r="F56" s="12">
        <f>E56+1</f>
        <v>2013</v>
      </c>
      <c r="G56" s="12">
        <f>F56+1</f>
        <v>2014</v>
      </c>
      <c r="H56" s="12">
        <f>G56+1</f>
        <v>2015</v>
      </c>
    </row>
    <row r="57" spans="2:17" x14ac:dyDescent="0.55000000000000004">
      <c r="B57" t="s">
        <v>0</v>
      </c>
      <c r="C57" s="5">
        <v>124</v>
      </c>
      <c r="D57" s="5">
        <v>135</v>
      </c>
      <c r="E57" s="5">
        <v>148</v>
      </c>
      <c r="F57" s="4">
        <f>E57*(1+F71)</f>
        <v>161.69044205495817</v>
      </c>
      <c r="G57" s="4">
        <f>F57*(1+G71)</f>
        <v>176.64729089140397</v>
      </c>
      <c r="H57" s="4">
        <f>G57*(1+H71)</f>
        <v>192.987692919202</v>
      </c>
    </row>
    <row r="58" spans="2:17" x14ac:dyDescent="0.55000000000000004">
      <c r="B58" s="3" t="s">
        <v>24</v>
      </c>
      <c r="C58" s="28">
        <v>54</v>
      </c>
      <c r="D58" s="35">
        <f>71-14</f>
        <v>57</v>
      </c>
      <c r="E58" s="35">
        <f>74-18</f>
        <v>56</v>
      </c>
      <c r="F58" s="29">
        <f>F57*(1-F72)</f>
        <v>66.621014875051557</v>
      </c>
      <c r="G58" s="29">
        <f>G57*(1-G72)</f>
        <v>72.78365773849346</v>
      </c>
      <c r="H58" s="29">
        <f>H57*(1-H72)</f>
        <v>79.516363473741791</v>
      </c>
    </row>
    <row r="59" spans="2:17" x14ac:dyDescent="0.55000000000000004">
      <c r="B59" s="3" t="s">
        <v>10</v>
      </c>
      <c r="C59" s="30">
        <f t="shared" ref="C59:H59" si="6">C57-C58</f>
        <v>70</v>
      </c>
      <c r="D59" s="30">
        <f t="shared" si="6"/>
        <v>78</v>
      </c>
      <c r="E59" s="30">
        <f t="shared" si="6"/>
        <v>92</v>
      </c>
      <c r="F59" s="30">
        <f t="shared" si="6"/>
        <v>95.069427179906612</v>
      </c>
      <c r="G59" s="30">
        <f t="shared" si="6"/>
        <v>103.86363315291051</v>
      </c>
      <c r="H59" s="30">
        <f t="shared" si="6"/>
        <v>113.47132944546021</v>
      </c>
    </row>
    <row r="60" spans="2:17" x14ac:dyDescent="0.55000000000000004">
      <c r="B60" t="s">
        <v>25</v>
      </c>
      <c r="C60" s="28">
        <v>18</v>
      </c>
      <c r="D60" s="28">
        <v>20</v>
      </c>
      <c r="E60" s="35">
        <f>12+12</f>
        <v>24</v>
      </c>
      <c r="F60" s="30">
        <f>F57*F73</f>
        <v>24.548468149937165</v>
      </c>
      <c r="G60" s="30">
        <f>G57*G73</f>
        <v>26.819274776590554</v>
      </c>
      <c r="H60" s="30">
        <f>H57*H73</f>
        <v>29.300137798785922</v>
      </c>
    </row>
    <row r="61" spans="2:17" x14ac:dyDescent="0.55000000000000004">
      <c r="B61" s="19" t="s">
        <v>3</v>
      </c>
      <c r="C61" s="31">
        <f t="shared" ref="C61:H61" si="7">C59-C60</f>
        <v>52</v>
      </c>
      <c r="D61" s="31">
        <f t="shared" si="7"/>
        <v>58</v>
      </c>
      <c r="E61" s="31">
        <f t="shared" si="7"/>
        <v>68</v>
      </c>
      <c r="F61" s="31">
        <f t="shared" si="7"/>
        <v>70.520959029969447</v>
      </c>
      <c r="G61" s="31">
        <f t="shared" si="7"/>
        <v>77.044358376319963</v>
      </c>
      <c r="H61" s="31">
        <f t="shared" si="7"/>
        <v>84.171191646674288</v>
      </c>
      <c r="I61" s="19"/>
      <c r="J61" s="19"/>
      <c r="K61" s="19"/>
      <c r="L61" s="19"/>
      <c r="M61" s="19"/>
      <c r="N61" s="19"/>
      <c r="O61" s="19"/>
    </row>
    <row r="62" spans="2:17" x14ac:dyDescent="0.55000000000000004">
      <c r="B62" t="s">
        <v>16</v>
      </c>
      <c r="C62" s="28">
        <v>5</v>
      </c>
      <c r="D62" s="28">
        <v>5</v>
      </c>
      <c r="E62" s="28">
        <v>5</v>
      </c>
      <c r="F62" s="28">
        <v>5</v>
      </c>
      <c r="G62" s="28">
        <v>5</v>
      </c>
      <c r="H62" s="28">
        <v>5</v>
      </c>
    </row>
    <row r="63" spans="2:17" x14ac:dyDescent="0.55000000000000004">
      <c r="B63" t="s">
        <v>4</v>
      </c>
      <c r="C63" s="30">
        <f t="shared" ref="C63:H63" si="8">C61-C62</f>
        <v>47</v>
      </c>
      <c r="D63" s="30">
        <f t="shared" si="8"/>
        <v>53</v>
      </c>
      <c r="E63" s="30">
        <f t="shared" si="8"/>
        <v>63</v>
      </c>
      <c r="F63" s="30">
        <f t="shared" si="8"/>
        <v>65.520959029969447</v>
      </c>
      <c r="G63" s="30">
        <f t="shared" si="8"/>
        <v>72.044358376319963</v>
      </c>
      <c r="H63" s="30">
        <f t="shared" si="8"/>
        <v>79.171191646674288</v>
      </c>
      <c r="Q63" s="36"/>
    </row>
    <row r="64" spans="2:17" x14ac:dyDescent="0.55000000000000004">
      <c r="B64" t="s">
        <v>26</v>
      </c>
      <c r="C64" s="28">
        <v>11</v>
      </c>
      <c r="D64" s="35">
        <f>13+0.35*14</f>
        <v>17.899999999999999</v>
      </c>
      <c r="E64" s="35">
        <f>16+0.35*6</f>
        <v>18.100000000000001</v>
      </c>
      <c r="F64" s="30">
        <f>F63*F74</f>
        <v>18.762581599583733</v>
      </c>
      <c r="G64" s="30">
        <f>G63*G74</f>
        <v>20.630622213680798</v>
      </c>
      <c r="H64" s="30">
        <f>H63*H74</f>
        <v>22.671462164153567</v>
      </c>
    </row>
    <row r="65" spans="2:18" x14ac:dyDescent="0.55000000000000004">
      <c r="B65" s="19" t="s">
        <v>27</v>
      </c>
      <c r="C65" s="31">
        <f t="shared" ref="C65:H65" si="9">C63-C64</f>
        <v>36</v>
      </c>
      <c r="D65" s="31">
        <f t="shared" si="9"/>
        <v>35.1</v>
      </c>
      <c r="E65" s="31">
        <f t="shared" si="9"/>
        <v>44.9</v>
      </c>
      <c r="F65" s="31">
        <f t="shared" si="9"/>
        <v>46.758377430385714</v>
      </c>
      <c r="G65" s="31">
        <f t="shared" si="9"/>
        <v>51.413736162639168</v>
      </c>
      <c r="H65" s="31">
        <f t="shared" si="9"/>
        <v>56.499729482520721</v>
      </c>
      <c r="I65" s="19"/>
      <c r="J65" s="19"/>
      <c r="K65" s="19"/>
      <c r="L65" s="19"/>
      <c r="M65" s="19"/>
      <c r="N65" s="19"/>
      <c r="O65" s="19"/>
    </row>
    <row r="66" spans="2:18" x14ac:dyDescent="0.55000000000000004">
      <c r="B66" s="19"/>
      <c r="C66" s="20"/>
      <c r="D66" s="20"/>
      <c r="E66" s="20"/>
      <c r="F66" s="20"/>
      <c r="G66" s="20"/>
      <c r="H66" s="20"/>
      <c r="I66" s="19"/>
      <c r="J66" s="19"/>
      <c r="K66" s="19"/>
      <c r="L66" s="19"/>
      <c r="M66" s="19"/>
      <c r="N66" s="19"/>
      <c r="O66" s="19"/>
      <c r="Q66" s="1"/>
      <c r="R66" s="1"/>
    </row>
    <row r="67" spans="2:18" x14ac:dyDescent="0.55000000000000004">
      <c r="B67" t="s">
        <v>28</v>
      </c>
      <c r="C67" s="32">
        <f t="shared" ref="C67:H67" si="10">C65/C68</f>
        <v>0.36</v>
      </c>
      <c r="D67" s="32">
        <f t="shared" si="10"/>
        <v>0.35100000000000003</v>
      </c>
      <c r="E67" s="32">
        <f t="shared" si="10"/>
        <v>0.44900000000000001</v>
      </c>
      <c r="F67" s="32">
        <f t="shared" si="10"/>
        <v>0.46758377430385711</v>
      </c>
      <c r="G67" s="32">
        <f t="shared" si="10"/>
        <v>0.51413736162639168</v>
      </c>
      <c r="H67" s="32">
        <f t="shared" si="10"/>
        <v>0.56499729482520722</v>
      </c>
    </row>
    <row r="68" spans="2:18" x14ac:dyDescent="0.55000000000000004">
      <c r="B68" t="s">
        <v>6</v>
      </c>
      <c r="C68" s="6">
        <v>100</v>
      </c>
      <c r="D68" s="6">
        <v>100</v>
      </c>
      <c r="E68" s="6">
        <v>100</v>
      </c>
      <c r="F68" s="6">
        <v>100</v>
      </c>
      <c r="G68" s="6">
        <v>100</v>
      </c>
      <c r="H68" s="6">
        <v>100</v>
      </c>
    </row>
    <row r="70" spans="2:18" x14ac:dyDescent="0.55000000000000004">
      <c r="B70" s="22" t="s">
        <v>17</v>
      </c>
      <c r="C70" s="12"/>
      <c r="D70" s="3"/>
      <c r="E70" s="3"/>
      <c r="F70" s="3"/>
      <c r="G70" s="3"/>
      <c r="H70" s="3"/>
    </row>
    <row r="71" spans="2:18" x14ac:dyDescent="0.55000000000000004">
      <c r="B71" s="3" t="s">
        <v>12</v>
      </c>
      <c r="C71" s="21"/>
      <c r="D71" s="34">
        <f>D57/C57-1</f>
        <v>8.870967741935476E-2</v>
      </c>
      <c r="E71" s="34">
        <f>E57/D57-1</f>
        <v>9.6296296296296324E-2</v>
      </c>
      <c r="F71" s="33">
        <f>AVERAGE(D71:E71)</f>
        <v>9.2502986857825542E-2</v>
      </c>
      <c r="G71" s="33">
        <f t="shared" ref="G71:H74" si="11">F71</f>
        <v>9.2502986857825542E-2</v>
      </c>
      <c r="H71" s="33">
        <f t="shared" si="11"/>
        <v>9.2502986857825542E-2</v>
      </c>
      <c r="I71" t="s">
        <v>19</v>
      </c>
    </row>
    <row r="72" spans="2:18" x14ac:dyDescent="0.55000000000000004">
      <c r="B72" t="s">
        <v>13</v>
      </c>
      <c r="C72" s="33">
        <f>C59/C57</f>
        <v>0.56451612903225812</v>
      </c>
      <c r="D72" s="33">
        <f>D59/D57</f>
        <v>0.57777777777777772</v>
      </c>
      <c r="E72" s="33">
        <f>E59/E57</f>
        <v>0.6216216216216216</v>
      </c>
      <c r="F72" s="33">
        <f>AVERAGE(C72:E72)</f>
        <v>0.58797184281055248</v>
      </c>
      <c r="G72" s="33">
        <f t="shared" si="11"/>
        <v>0.58797184281055248</v>
      </c>
      <c r="H72" s="33">
        <f t="shared" si="11"/>
        <v>0.58797184281055248</v>
      </c>
      <c r="I72" t="s">
        <v>20</v>
      </c>
    </row>
    <row r="73" spans="2:18" x14ac:dyDescent="0.55000000000000004">
      <c r="B73" t="s">
        <v>14</v>
      </c>
      <c r="C73" s="33">
        <f>C60/C57</f>
        <v>0.14516129032258066</v>
      </c>
      <c r="D73" s="33">
        <f>D60/D57</f>
        <v>0.14814814814814814</v>
      </c>
      <c r="E73" s="33">
        <f>E60/E57</f>
        <v>0.16216216216216217</v>
      </c>
      <c r="F73" s="33">
        <f>AVERAGE(C73:E73)</f>
        <v>0.1518238668776303</v>
      </c>
      <c r="G73" s="33">
        <f t="shared" si="11"/>
        <v>0.1518238668776303</v>
      </c>
      <c r="H73" s="33">
        <f t="shared" si="11"/>
        <v>0.1518238668776303</v>
      </c>
      <c r="I73" t="s">
        <v>32</v>
      </c>
    </row>
    <row r="74" spans="2:18" x14ac:dyDescent="0.55000000000000004">
      <c r="B74" t="s">
        <v>15</v>
      </c>
      <c r="C74" s="33">
        <f>C64/C63</f>
        <v>0.23404255319148937</v>
      </c>
      <c r="D74" s="33">
        <f>D64/D63</f>
        <v>0.33773584905660375</v>
      </c>
      <c r="E74" s="33">
        <f>E64/E63</f>
        <v>0.28730158730158734</v>
      </c>
      <c r="F74" s="33">
        <f>AVERAGE(C74:E74)</f>
        <v>0.28635999651656019</v>
      </c>
      <c r="G74" s="33">
        <f t="shared" si="11"/>
        <v>0.28635999651656019</v>
      </c>
      <c r="H74" s="33">
        <f t="shared" si="11"/>
        <v>0.28635999651656019</v>
      </c>
      <c r="I74" t="s">
        <v>33</v>
      </c>
    </row>
    <row r="76" spans="2:18" x14ac:dyDescent="0.55000000000000004">
      <c r="B76" s="22" t="s">
        <v>18</v>
      </c>
      <c r="C76" s="12"/>
      <c r="D76" s="12"/>
      <c r="E76" s="12"/>
      <c r="F76" s="12"/>
      <c r="G76" s="12"/>
      <c r="H76" s="12"/>
    </row>
    <row r="77" spans="2:18" x14ac:dyDescent="0.55000000000000004">
      <c r="B77" s="25" t="s">
        <v>29</v>
      </c>
      <c r="C77" s="3"/>
      <c r="D77" s="3"/>
      <c r="E77" s="3"/>
      <c r="F77" s="3"/>
      <c r="G77" s="3"/>
      <c r="H77" s="3"/>
    </row>
    <row r="78" spans="2:18" x14ac:dyDescent="0.55000000000000004">
      <c r="B78" s="24" t="s">
        <v>30</v>
      </c>
    </row>
    <row r="79" spans="2:18" x14ac:dyDescent="0.55000000000000004">
      <c r="B79" s="24" t="s">
        <v>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/>
  </sheetViews>
  <sheetFormatPr defaultRowHeight="14.4" x14ac:dyDescent="0.5500000000000000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"/>
  <sheetViews>
    <sheetView workbookViewId="0"/>
  </sheetViews>
  <sheetFormatPr defaultRowHeight="14.4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 Street Prep</dc:creator>
  <cp:lastModifiedBy>Michael</cp:lastModifiedBy>
  <dcterms:created xsi:type="dcterms:W3CDTF">2012-07-18T19:32:31Z</dcterms:created>
  <dcterms:modified xsi:type="dcterms:W3CDTF">2018-07-16T04:29:31Z</dcterms:modified>
</cp:coreProperties>
</file>