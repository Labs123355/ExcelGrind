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ipny-my.sharepoint.com/personal/isiaka_energyimpactpartners_com/Documents/Training/Financial Modelling/Archive/"/>
    </mc:Choice>
  </mc:AlternateContent>
  <xr:revisionPtr revIDLastSave="5" documentId="13_ncr:1_{C7C5FDC1-932F-452F-B47E-BDB715894708}" xr6:coauthVersionLast="47" xr6:coauthVersionMax="47" xr10:uidLastSave="{70249910-F865-4AA8-A3B0-02DC1C732CBC}"/>
  <bookViews>
    <workbookView xWindow="-110" yWindow="-110" windowWidth="19420" windowHeight="11500" firstSheet="3" activeTab="3" xr2:uid="{D76B8743-43EA-4C2D-BD41-C76F9205B2C3}"/>
  </bookViews>
  <sheets>
    <sheet name="__FDSCACHE__" sheetId="3" state="veryHidden" r:id="rId1"/>
    <sheet name="ANR as of Feb 14" sheetId="2" state="hidden" r:id="rId2"/>
    <sheet name="PB_CACHE" sheetId="7" state="veryHidden" r:id="rId3"/>
    <sheet name="Input Tab" sheetId="1" r:id="rId4"/>
    <sheet name="Operating Metrics" sheetId="4" r:id="rId5"/>
    <sheet name="Valuation Metrics" sheetId="5" r:id="rId6"/>
    <sheet name="Football Field" sheetId="6" r:id="rId7"/>
  </sheets>
  <definedNames>
    <definedName name="_bdm.964735ded3a040178ceb38dd1100d418.edm" localSheetId="3" hidden="1">'Input Tab'!$E$135</definedName>
    <definedName name="_bdm.9ac20bc4e6514e9896919cca357e6898.edm" hidden="1">'Input Tab'!$1:$1048576</definedName>
    <definedName name="_bdm.a8339ccde6034358b8f26e2643c6d052.edm" localSheetId="3" hidden="1">'Input Tab'!$E$134</definedName>
    <definedName name="INPUTS">'Input Tab'!$9:$308</definedName>
    <definedName name="METRICS">'Input Tab'!$C$9:$C$308</definedName>
    <definedName name="REFRESHDATE">'Input Tab'!$C$5</definedName>
  </definedNames>
  <calcPr calcId="191029" iterate="1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6" l="1"/>
  <c r="D17" i="6"/>
  <c r="D15" i="6"/>
  <c r="C10" i="6"/>
  <c r="E10" i="6"/>
  <c r="I10" i="6"/>
  <c r="G10" i="6"/>
  <c r="I8" i="6"/>
  <c r="G8" i="6"/>
  <c r="E8" i="6"/>
  <c r="C8" i="6"/>
  <c r="G3" i="6"/>
  <c r="C3" i="6"/>
  <c r="V8" i="5" l="1"/>
  <c r="V9" i="5"/>
  <c r="V10" i="5"/>
  <c r="V11" i="5"/>
  <c r="V18" i="5"/>
  <c r="K18" i="4"/>
  <c r="R18" i="4"/>
  <c r="H18" i="4" s="1"/>
  <c r="AD18" i="4"/>
  <c r="R6" i="4"/>
  <c r="Y6" i="4" s="1"/>
  <c r="AD6" i="4" s="1"/>
  <c r="AK6" i="4" s="1"/>
  <c r="M6" i="5"/>
  <c r="C18" i="4"/>
  <c r="C18" i="5" s="1"/>
  <c r="B41" i="5" s="1"/>
  <c r="B42" i="5"/>
  <c r="B45" i="5"/>
  <c r="B26" i="5"/>
  <c r="B44" i="5"/>
  <c r="J6" i="4"/>
  <c r="Q6" i="4" s="1"/>
  <c r="B25" i="5" l="1"/>
  <c r="B43" i="5"/>
  <c r="B24" i="5"/>
  <c r="B27" i="5"/>
  <c r="B23" i="5"/>
  <c r="Y18" i="4"/>
  <c r="AK18" i="4"/>
  <c r="Q6" i="5"/>
  <c r="L6" i="4"/>
  <c r="X6" i="4"/>
  <c r="AC6" i="4"/>
  <c r="AJ6" i="4" l="1"/>
  <c r="Y14" i="4"/>
  <c r="H15" i="4"/>
  <c r="H14" i="4"/>
  <c r="H13" i="4"/>
  <c r="H16" i="4"/>
  <c r="AK16" i="4"/>
  <c r="AK13" i="4"/>
  <c r="AK14" i="4"/>
  <c r="Y16" i="4"/>
  <c r="AK15" i="4"/>
  <c r="Y15" i="4"/>
  <c r="Y13" i="4"/>
  <c r="M6" i="4"/>
  <c r="J6" i="5"/>
  <c r="S6" i="4"/>
  <c r="AE6" i="4" s="1"/>
  <c r="AL6" i="4" s="1"/>
  <c r="T6" i="4" l="1"/>
  <c r="AA6" i="4" s="1"/>
  <c r="O6" i="4"/>
  <c r="N6" i="5"/>
  <c r="R6" i="5" s="1"/>
  <c r="K6" i="5"/>
  <c r="O6" i="5" s="1"/>
  <c r="S6" i="5" s="1"/>
  <c r="Z6" i="4"/>
  <c r="AF6" i="4" l="1"/>
  <c r="V6" i="4"/>
  <c r="K154" i="1"/>
  <c r="K156" i="1" s="1"/>
  <c r="K158" i="1" s="1"/>
  <c r="M275" i="1"/>
  <c r="K275" i="1"/>
  <c r="I275" i="1"/>
  <c r="G275" i="1"/>
  <c r="E275" i="1"/>
  <c r="M308" i="1"/>
  <c r="M302" i="1"/>
  <c r="M296" i="1"/>
  <c r="M290" i="1"/>
  <c r="M284" i="1"/>
  <c r="M274" i="1"/>
  <c r="M277" i="1" s="1"/>
  <c r="M239" i="1"/>
  <c r="M229" i="1"/>
  <c r="M207" i="1"/>
  <c r="M209" i="1" s="1"/>
  <c r="M211" i="1" s="1"/>
  <c r="M181" i="1"/>
  <c r="M183" i="1" s="1"/>
  <c r="M185" i="1" s="1"/>
  <c r="M177" i="1"/>
  <c r="M203" i="1" s="1"/>
  <c r="M154" i="1"/>
  <c r="M156" i="1" s="1"/>
  <c r="M150" i="1"/>
  <c r="M140" i="1"/>
  <c r="M139" i="1"/>
  <c r="M126" i="1"/>
  <c r="M122" i="1"/>
  <c r="M110" i="1"/>
  <c r="M141" i="1" s="1"/>
  <c r="M105" i="1"/>
  <c r="M21" i="1"/>
  <c r="M17" i="1"/>
  <c r="K308" i="1"/>
  <c r="K302" i="1"/>
  <c r="K296" i="1"/>
  <c r="K290" i="1"/>
  <c r="K284" i="1"/>
  <c r="K274" i="1"/>
  <c r="K277" i="1" s="1"/>
  <c r="K239" i="1"/>
  <c r="K229" i="1"/>
  <c r="K207" i="1"/>
  <c r="K209" i="1" s="1"/>
  <c r="K181" i="1"/>
  <c r="K183" i="1" s="1"/>
  <c r="K185" i="1" s="1"/>
  <c r="K177" i="1"/>
  <c r="K203" i="1" s="1"/>
  <c r="K150" i="1"/>
  <c r="K140" i="1"/>
  <c r="K139" i="1"/>
  <c r="K126" i="1"/>
  <c r="K122" i="1"/>
  <c r="K110" i="1"/>
  <c r="K141" i="1" s="1"/>
  <c r="K105" i="1"/>
  <c r="K21" i="1"/>
  <c r="K17" i="1"/>
  <c r="I274" i="1"/>
  <c r="I239" i="1"/>
  <c r="I229" i="1"/>
  <c r="I207" i="1"/>
  <c r="I209" i="1" s="1"/>
  <c r="I223" i="1" s="1"/>
  <c r="I222" i="1" s="1"/>
  <c r="I181" i="1"/>
  <c r="I183" i="1" s="1"/>
  <c r="I177" i="1"/>
  <c r="I203" i="1" s="1"/>
  <c r="I154" i="1"/>
  <c r="I156" i="1" s="1"/>
  <c r="I150" i="1"/>
  <c r="I140" i="1"/>
  <c r="I139" i="1"/>
  <c r="I126" i="1"/>
  <c r="I122" i="1"/>
  <c r="I110" i="1"/>
  <c r="I141" i="1" s="1"/>
  <c r="I105" i="1"/>
  <c r="I21" i="1"/>
  <c r="I17" i="1"/>
  <c r="G308" i="1"/>
  <c r="G302" i="1"/>
  <c r="G296" i="1"/>
  <c r="G290" i="1"/>
  <c r="G284" i="1"/>
  <c r="G274" i="1"/>
  <c r="G277" i="1" s="1"/>
  <c r="G239" i="1"/>
  <c r="G229" i="1"/>
  <c r="G207" i="1"/>
  <c r="G209" i="1" s="1"/>
  <c r="G181" i="1"/>
  <c r="G183" i="1" s="1"/>
  <c r="G177" i="1"/>
  <c r="G203" i="1" s="1"/>
  <c r="G154" i="1"/>
  <c r="G156" i="1" s="1"/>
  <c r="G150" i="1"/>
  <c r="G140" i="1"/>
  <c r="G139" i="1"/>
  <c r="G126" i="1"/>
  <c r="G122" i="1"/>
  <c r="G110" i="1"/>
  <c r="G141" i="1" s="1"/>
  <c r="G105" i="1"/>
  <c r="G21" i="1"/>
  <c r="G17" i="1"/>
  <c r="E17" i="1"/>
  <c r="AM6" i="4" l="1"/>
  <c r="AH6" i="4"/>
  <c r="I277" i="1"/>
  <c r="I278" i="1" s="1"/>
  <c r="I281" i="1" s="1"/>
  <c r="M171" i="1"/>
  <c r="M170" i="1" s="1"/>
  <c r="M138" i="1"/>
  <c r="M142" i="1" s="1"/>
  <c r="M278" i="1"/>
  <c r="M307" i="1" s="1"/>
  <c r="K278" i="1"/>
  <c r="K282" i="1" s="1"/>
  <c r="K138" i="1"/>
  <c r="K142" i="1" s="1"/>
  <c r="G197" i="1"/>
  <c r="G196" i="1" s="1"/>
  <c r="M194" i="1"/>
  <c r="M187" i="1"/>
  <c r="M198" i="1" s="1"/>
  <c r="M199" i="1" s="1"/>
  <c r="M213" i="1"/>
  <c r="M224" i="1" s="1"/>
  <c r="M225" i="1" s="1"/>
  <c r="M220" i="1"/>
  <c r="M197" i="1"/>
  <c r="M196" i="1" s="1"/>
  <c r="M158" i="1"/>
  <c r="M223" i="1"/>
  <c r="M222" i="1" s="1"/>
  <c r="K164" i="1"/>
  <c r="K160" i="1"/>
  <c r="K172" i="1" s="1"/>
  <c r="K187" i="1"/>
  <c r="K198" i="1" s="1"/>
  <c r="K199" i="1" s="1"/>
  <c r="K194" i="1"/>
  <c r="K223" i="1"/>
  <c r="K222" i="1" s="1"/>
  <c r="K211" i="1"/>
  <c r="K171" i="1"/>
  <c r="K197" i="1"/>
  <c r="K196" i="1" s="1"/>
  <c r="I211" i="1"/>
  <c r="I213" i="1" s="1"/>
  <c r="I224" i="1" s="1"/>
  <c r="I225" i="1" s="1"/>
  <c r="I138" i="1"/>
  <c r="I142" i="1" s="1"/>
  <c r="G138" i="1"/>
  <c r="G142" i="1" s="1"/>
  <c r="I197" i="1"/>
  <c r="I196" i="1" s="1"/>
  <c r="I185" i="1"/>
  <c r="I158" i="1"/>
  <c r="I171" i="1"/>
  <c r="G278" i="1"/>
  <c r="G306" i="1" s="1"/>
  <c r="G158" i="1"/>
  <c r="G171" i="1"/>
  <c r="G211" i="1"/>
  <c r="G223" i="1"/>
  <c r="G222" i="1" s="1"/>
  <c r="G185" i="1"/>
  <c r="E308" i="1"/>
  <c r="E302" i="1"/>
  <c r="E296" i="1"/>
  <c r="E290" i="1"/>
  <c r="E284" i="1"/>
  <c r="E140" i="1"/>
  <c r="E139" i="1"/>
  <c r="E177" i="1"/>
  <c r="E203" i="1" s="1"/>
  <c r="E150" i="1"/>
  <c r="E105" i="1"/>
  <c r="E274" i="1"/>
  <c r="E277" i="1" s="1"/>
  <c r="E126" i="1"/>
  <c r="E122" i="1"/>
  <c r="E110" i="1"/>
  <c r="E141" i="1" s="1"/>
  <c r="E239" i="1"/>
  <c r="E229" i="1"/>
  <c r="E207" i="1"/>
  <c r="E209" i="1" s="1"/>
  <c r="E181" i="1"/>
  <c r="E183" i="1" s="1"/>
  <c r="E154" i="1"/>
  <c r="E156" i="1" s="1"/>
  <c r="M253" i="1" l="1"/>
  <c r="M294" i="1"/>
  <c r="M282" i="1"/>
  <c r="M301" i="1"/>
  <c r="M281" i="1"/>
  <c r="M289" i="1"/>
  <c r="M293" i="1"/>
  <c r="M295" i="1"/>
  <c r="M300" i="1"/>
  <c r="M283" i="1"/>
  <c r="M288" i="1"/>
  <c r="M306" i="1"/>
  <c r="K281" i="1"/>
  <c r="K301" i="1"/>
  <c r="K300" i="1"/>
  <c r="K288" i="1"/>
  <c r="K295" i="1"/>
  <c r="K283" i="1"/>
  <c r="K289" i="1"/>
  <c r="K294" i="1"/>
  <c r="K307" i="1"/>
  <c r="K306" i="1"/>
  <c r="I308" i="1"/>
  <c r="I302" i="1"/>
  <c r="I296" i="1"/>
  <c r="I290" i="1"/>
  <c r="I284" i="1"/>
  <c r="G281" i="1"/>
  <c r="M53" i="1"/>
  <c r="M54" i="1" s="1"/>
  <c r="M48" i="1"/>
  <c r="M49" i="1" s="1"/>
  <c r="M89" i="1"/>
  <c r="M90" i="1" s="1"/>
  <c r="M43" i="1"/>
  <c r="M44" i="1" s="1"/>
  <c r="M73" i="1"/>
  <c r="M74" i="1" s="1"/>
  <c r="M68" i="1"/>
  <c r="M69" i="1" s="1"/>
  <c r="M84" i="1"/>
  <c r="M38" i="1"/>
  <c r="M39" i="1" s="1"/>
  <c r="M33" i="1"/>
  <c r="M34" i="1" s="1"/>
  <c r="M28" i="1"/>
  <c r="M63" i="1"/>
  <c r="M64" i="1" s="1"/>
  <c r="M58" i="1"/>
  <c r="M59" i="1" s="1"/>
  <c r="M134" i="1"/>
  <c r="W11" i="5" s="1"/>
  <c r="K84" i="1"/>
  <c r="K85" i="1" s="1"/>
  <c r="K38" i="1"/>
  <c r="K39" i="1" s="1"/>
  <c r="K33" i="1"/>
  <c r="K34" i="1" s="1"/>
  <c r="K28" i="1"/>
  <c r="K58" i="1"/>
  <c r="K59" i="1" s="1"/>
  <c r="K73" i="1"/>
  <c r="K74" i="1" s="1"/>
  <c r="K43" i="1"/>
  <c r="K44" i="1" s="1"/>
  <c r="K68" i="1"/>
  <c r="K69" i="1" s="1"/>
  <c r="K63" i="1"/>
  <c r="K64" i="1" s="1"/>
  <c r="K134" i="1"/>
  <c r="W10" i="5" s="1"/>
  <c r="K53" i="1"/>
  <c r="K54" i="1" s="1"/>
  <c r="K89" i="1"/>
  <c r="K48" i="1"/>
  <c r="K49" i="1" s="1"/>
  <c r="I58" i="1"/>
  <c r="I59" i="1" s="1"/>
  <c r="I53" i="1"/>
  <c r="I54" i="1" s="1"/>
  <c r="I38" i="1"/>
  <c r="I39" i="1" s="1"/>
  <c r="I33" i="1"/>
  <c r="I34" i="1" s="1"/>
  <c r="I134" i="1"/>
  <c r="W9" i="5" s="1"/>
  <c r="I63" i="1"/>
  <c r="I64" i="1" s="1"/>
  <c r="I48" i="1"/>
  <c r="I49" i="1" s="1"/>
  <c r="I89" i="1"/>
  <c r="I90" i="1" s="1"/>
  <c r="I43" i="1"/>
  <c r="I44" i="1" s="1"/>
  <c r="I84" i="1"/>
  <c r="I73" i="1"/>
  <c r="I74" i="1" s="1"/>
  <c r="I68" i="1"/>
  <c r="I69" i="1" s="1"/>
  <c r="I28" i="1"/>
  <c r="G84" i="1"/>
  <c r="G134" i="1"/>
  <c r="W8" i="5" s="1"/>
  <c r="G68" i="1"/>
  <c r="G69" i="1" s="1"/>
  <c r="G63" i="1"/>
  <c r="G64" i="1" s="1"/>
  <c r="G43" i="1"/>
  <c r="G44" i="1" s="1"/>
  <c r="G73" i="1"/>
  <c r="G74" i="1" s="1"/>
  <c r="G58" i="1"/>
  <c r="G59" i="1" s="1"/>
  <c r="G53" i="1"/>
  <c r="G54" i="1" s="1"/>
  <c r="G48" i="1"/>
  <c r="G49" i="1" s="1"/>
  <c r="G89" i="1"/>
  <c r="G90" i="1" s="1"/>
  <c r="G38" i="1"/>
  <c r="G39" i="1" s="1"/>
  <c r="G33" i="1"/>
  <c r="G34" i="1" s="1"/>
  <c r="G28" i="1"/>
  <c r="M230" i="1"/>
  <c r="M246" i="1"/>
  <c r="M287" i="1" s="1"/>
  <c r="M231" i="1"/>
  <c r="M164" i="1"/>
  <c r="M160" i="1"/>
  <c r="M172" i="1" s="1"/>
  <c r="K220" i="1"/>
  <c r="K213" i="1"/>
  <c r="K224" i="1" s="1"/>
  <c r="K225" i="1" s="1"/>
  <c r="K260" i="1"/>
  <c r="K299" i="1" s="1"/>
  <c r="K173" i="1"/>
  <c r="K170" i="1"/>
  <c r="K253" i="1"/>
  <c r="K293" i="1" s="1"/>
  <c r="K231" i="1"/>
  <c r="I220" i="1"/>
  <c r="I306" i="1"/>
  <c r="I283" i="1"/>
  <c r="I160" i="1"/>
  <c r="I172" i="1" s="1"/>
  <c r="I164" i="1"/>
  <c r="I194" i="1"/>
  <c r="I187" i="1"/>
  <c r="I198" i="1" s="1"/>
  <c r="I199" i="1" s="1"/>
  <c r="I294" i="1"/>
  <c r="I288" i="1"/>
  <c r="I289" i="1"/>
  <c r="I307" i="1"/>
  <c r="I282" i="1"/>
  <c r="I300" i="1"/>
  <c r="I295" i="1"/>
  <c r="I253" i="1"/>
  <c r="I293" i="1" s="1"/>
  <c r="I231" i="1"/>
  <c r="I170" i="1"/>
  <c r="I301" i="1"/>
  <c r="G253" i="1"/>
  <c r="G293" i="1" s="1"/>
  <c r="G231" i="1"/>
  <c r="G170" i="1"/>
  <c r="G294" i="1"/>
  <c r="G282" i="1"/>
  <c r="G194" i="1"/>
  <c r="G187" i="1"/>
  <c r="G198" i="1" s="1"/>
  <c r="G199" i="1" s="1"/>
  <c r="G288" i="1"/>
  <c r="G283" i="1"/>
  <c r="G160" i="1"/>
  <c r="G172" i="1" s="1"/>
  <c r="G164" i="1"/>
  <c r="G307" i="1"/>
  <c r="G300" i="1"/>
  <c r="G295" i="1"/>
  <c r="G289" i="1"/>
  <c r="G213" i="1"/>
  <c r="G224" i="1" s="1"/>
  <c r="G225" i="1" s="1"/>
  <c r="G220" i="1"/>
  <c r="G301" i="1"/>
  <c r="E134" i="1"/>
  <c r="G18" i="4" s="1"/>
  <c r="G18" i="5" s="1"/>
  <c r="W18" i="5" s="1"/>
  <c r="E138" i="1"/>
  <c r="E142" i="1" s="1"/>
  <c r="E211" i="1"/>
  <c r="E220" i="1" s="1"/>
  <c r="E223" i="1"/>
  <c r="E222" i="1" s="1"/>
  <c r="E185" i="1"/>
  <c r="E194" i="1" s="1"/>
  <c r="E197" i="1"/>
  <c r="E196" i="1" s="1"/>
  <c r="E171" i="1"/>
  <c r="E253" i="1" s="1"/>
  <c r="E158" i="1"/>
  <c r="E164" i="1" s="1"/>
  <c r="E89" i="1"/>
  <c r="E90" i="1" s="1"/>
  <c r="E84" i="1"/>
  <c r="E73" i="1"/>
  <c r="E74" i="1" s="1"/>
  <c r="E58" i="1"/>
  <c r="E59" i="1" s="1"/>
  <c r="E48" i="1"/>
  <c r="E49" i="1" s="1"/>
  <c r="E43" i="1"/>
  <c r="E44" i="1" s="1"/>
  <c r="E38" i="1"/>
  <c r="E39" i="1" s="1"/>
  <c r="E33" i="1"/>
  <c r="E34" i="1" s="1"/>
  <c r="E21" i="1"/>
  <c r="M92" i="1" l="1"/>
  <c r="M85" i="1"/>
  <c r="M93" i="1" s="1"/>
  <c r="M94" i="1" s="1"/>
  <c r="M76" i="1"/>
  <c r="M29" i="1"/>
  <c r="M77" i="1" s="1"/>
  <c r="M78" i="1" s="1"/>
  <c r="K92" i="1"/>
  <c r="K90" i="1"/>
  <c r="K93" i="1" s="1"/>
  <c r="K94" i="1" s="1"/>
  <c r="K29" i="1"/>
  <c r="K77" i="1" s="1"/>
  <c r="K78" i="1" s="1"/>
  <c r="K76" i="1"/>
  <c r="I85" i="1"/>
  <c r="I93" i="1" s="1"/>
  <c r="I94" i="1" s="1"/>
  <c r="I92" i="1"/>
  <c r="I76" i="1"/>
  <c r="I29" i="1"/>
  <c r="I77" i="1" s="1"/>
  <c r="I78" i="1" s="1"/>
  <c r="G29" i="1"/>
  <c r="G77" i="1" s="1"/>
  <c r="G78" i="1" s="1"/>
  <c r="G76" i="1"/>
  <c r="G85" i="1"/>
  <c r="G93" i="1" s="1"/>
  <c r="G94" i="1" s="1"/>
  <c r="G92" i="1"/>
  <c r="M260" i="1"/>
  <c r="M299" i="1" s="1"/>
  <c r="M232" i="1"/>
  <c r="M173" i="1"/>
  <c r="K246" i="1"/>
  <c r="K287" i="1" s="1"/>
  <c r="K230" i="1"/>
  <c r="K267" i="1"/>
  <c r="K305" i="1" s="1"/>
  <c r="K233" i="1"/>
  <c r="K232" i="1"/>
  <c r="I230" i="1"/>
  <c r="I246" i="1"/>
  <c r="I287" i="1" s="1"/>
  <c r="I260" i="1"/>
  <c r="I299" i="1" s="1"/>
  <c r="I173" i="1"/>
  <c r="I232" i="1"/>
  <c r="G173" i="1"/>
  <c r="G260" i="1"/>
  <c r="G299" i="1" s="1"/>
  <c r="G232" i="1"/>
  <c r="G230" i="1"/>
  <c r="G246" i="1"/>
  <c r="G287" i="1" s="1"/>
  <c r="E53" i="1"/>
  <c r="E54" i="1" s="1"/>
  <c r="E63" i="1"/>
  <c r="E64" i="1" s="1"/>
  <c r="E28" i="1"/>
  <c r="E29" i="1" s="1"/>
  <c r="E68" i="1"/>
  <c r="E69" i="1" s="1"/>
  <c r="E278" i="1"/>
  <c r="E170" i="1"/>
  <c r="E231" i="1"/>
  <c r="E213" i="1"/>
  <c r="E224" i="1" s="1"/>
  <c r="E225" i="1" s="1"/>
  <c r="E187" i="1"/>
  <c r="E198" i="1" s="1"/>
  <c r="E199" i="1" s="1"/>
  <c r="E160" i="1"/>
  <c r="E172" i="1" s="1"/>
  <c r="E92" i="1"/>
  <c r="E85" i="1"/>
  <c r="O13" i="4" l="1"/>
  <c r="AH13" i="4"/>
  <c r="O15" i="4"/>
  <c r="O14" i="4"/>
  <c r="O16" i="4"/>
  <c r="AL13" i="4"/>
  <c r="AL15" i="4"/>
  <c r="AL16" i="4"/>
  <c r="AL14" i="4"/>
  <c r="G95" i="1"/>
  <c r="M79" i="1"/>
  <c r="AA14" i="4"/>
  <c r="AA13" i="4"/>
  <c r="AA16" i="4"/>
  <c r="AA15" i="4"/>
  <c r="Z14" i="4"/>
  <c r="Z16" i="4"/>
  <c r="Z13" i="4"/>
  <c r="Z15" i="4"/>
  <c r="X16" i="4"/>
  <c r="X15" i="4"/>
  <c r="X14" i="4"/>
  <c r="X13" i="4"/>
  <c r="AJ13" i="4"/>
  <c r="AJ14" i="4"/>
  <c r="AJ15" i="4"/>
  <c r="AJ16" i="4"/>
  <c r="K95" i="1"/>
  <c r="AM14" i="4"/>
  <c r="AM16" i="4"/>
  <c r="AM15" i="4"/>
  <c r="AM13" i="4"/>
  <c r="I95" i="1"/>
  <c r="M95" i="1"/>
  <c r="K79" i="1"/>
  <c r="I79" i="1"/>
  <c r="G79" i="1"/>
  <c r="G101" i="1" s="1"/>
  <c r="G135" i="1" s="1"/>
  <c r="G136" i="1" s="1"/>
  <c r="M267" i="1"/>
  <c r="M305" i="1" s="1"/>
  <c r="M233" i="1"/>
  <c r="I267" i="1"/>
  <c r="I305" i="1" s="1"/>
  <c r="I233" i="1"/>
  <c r="G267" i="1"/>
  <c r="G305" i="1" s="1"/>
  <c r="G233" i="1"/>
  <c r="E77" i="1"/>
  <c r="E78" i="1" s="1"/>
  <c r="E76" i="1"/>
  <c r="E294" i="1"/>
  <c r="E307" i="1"/>
  <c r="E295" i="1"/>
  <c r="E281" i="1"/>
  <c r="J18" i="4" s="1"/>
  <c r="E282" i="1"/>
  <c r="L18" i="4" s="1"/>
  <c r="E301" i="1"/>
  <c r="AF18" i="4" s="1"/>
  <c r="E288" i="1"/>
  <c r="S18" i="4" s="1"/>
  <c r="E293" i="1"/>
  <c r="E300" i="1"/>
  <c r="AE18" i="4" s="1"/>
  <c r="E306" i="1"/>
  <c r="E289" i="1"/>
  <c r="T18" i="4" s="1"/>
  <c r="E283" i="1"/>
  <c r="M18" i="4" s="1"/>
  <c r="E260" i="1"/>
  <c r="E299" i="1" s="1"/>
  <c r="AC18" i="4" s="1"/>
  <c r="E173" i="1"/>
  <c r="E230" i="1"/>
  <c r="E246" i="1"/>
  <c r="E287" i="1" s="1"/>
  <c r="Q18" i="4" s="1"/>
  <c r="E232" i="1"/>
  <c r="E93" i="1"/>
  <c r="E94" i="1" s="1"/>
  <c r="E95" i="1" s="1"/>
  <c r="O18" i="4" l="1"/>
  <c r="M101" i="1"/>
  <c r="M135" i="1" s="1"/>
  <c r="M136" i="1" s="1"/>
  <c r="V18" i="4"/>
  <c r="E6" i="6"/>
  <c r="E7" i="6" s="1"/>
  <c r="E9" i="6" s="1"/>
  <c r="E11" i="6" s="1"/>
  <c r="C6" i="6"/>
  <c r="C7" i="6" s="1"/>
  <c r="C9" i="6" s="1"/>
  <c r="C11" i="6" s="1"/>
  <c r="I6" i="6"/>
  <c r="I7" i="6" s="1"/>
  <c r="I9" i="6" s="1"/>
  <c r="I11" i="6" s="1"/>
  <c r="G6" i="6"/>
  <c r="G7" i="6" s="1"/>
  <c r="G9" i="6" s="1"/>
  <c r="G11" i="6" s="1"/>
  <c r="AH14" i="4"/>
  <c r="AH16" i="4"/>
  <c r="AH15" i="4"/>
  <c r="AH18" i="4"/>
  <c r="V15" i="4"/>
  <c r="V16" i="4"/>
  <c r="V14" i="4"/>
  <c r="V13" i="4"/>
  <c r="AL18" i="4"/>
  <c r="K101" i="1"/>
  <c r="K135" i="1" s="1"/>
  <c r="K136" i="1" s="1"/>
  <c r="K144" i="1" s="1"/>
  <c r="AJ18" i="4"/>
  <c r="M144" i="1"/>
  <c r="AA18" i="4"/>
  <c r="X18" i="4"/>
  <c r="G144" i="1"/>
  <c r="Z18" i="4"/>
  <c r="I101" i="1"/>
  <c r="I135" i="1" s="1"/>
  <c r="I136" i="1" s="1"/>
  <c r="AM18" i="4"/>
  <c r="E79" i="1"/>
  <c r="E101" i="1" s="1"/>
  <c r="E233" i="1"/>
  <c r="E267" i="1"/>
  <c r="E305" i="1" s="1"/>
  <c r="I144" i="1" l="1"/>
  <c r="C44" i="5"/>
  <c r="C25" i="5"/>
  <c r="C45" i="5"/>
  <c r="C27" i="5"/>
  <c r="C26" i="5"/>
  <c r="C43" i="5"/>
  <c r="E135" i="1"/>
  <c r="E136" i="1" s="1"/>
  <c r="E144" i="1" l="1"/>
  <c r="E18" i="4" s="1"/>
  <c r="E18" i="5" s="1"/>
  <c r="F18" i="4"/>
  <c r="F18" i="5" s="1"/>
  <c r="R15" i="5"/>
  <c r="S15" i="5"/>
  <c r="Q16" i="5"/>
  <c r="M15" i="5"/>
  <c r="O13" i="5"/>
  <c r="I16" i="5"/>
  <c r="K14" i="5"/>
  <c r="J14" i="5" l="1"/>
  <c r="C24" i="5"/>
  <c r="N15" i="5"/>
  <c r="C42" i="5"/>
  <c r="M16" i="5"/>
  <c r="M13" i="5"/>
  <c r="R13" i="5"/>
  <c r="K16" i="5"/>
  <c r="J15" i="5"/>
  <c r="K15" i="5"/>
  <c r="J16" i="5"/>
  <c r="K13" i="5"/>
  <c r="J13" i="5"/>
  <c r="S13" i="5"/>
  <c r="R14" i="5"/>
  <c r="N14" i="5"/>
  <c r="S16" i="5"/>
  <c r="Q15" i="5"/>
  <c r="Q14" i="5"/>
  <c r="I13" i="5"/>
  <c r="M14" i="5"/>
  <c r="N16" i="5"/>
  <c r="O16" i="5"/>
  <c r="I14" i="5"/>
  <c r="Q13" i="5"/>
  <c r="I15" i="5"/>
  <c r="N13" i="5"/>
  <c r="O14" i="5"/>
  <c r="S14" i="5"/>
  <c r="R16" i="5"/>
  <c r="S18" i="5"/>
  <c r="R18" i="5"/>
  <c r="Q18" i="5"/>
  <c r="O15" i="5"/>
  <c r="I18" i="5"/>
  <c r="J18" i="5"/>
  <c r="C23" i="5" s="1"/>
  <c r="K18" i="5"/>
  <c r="M18" i="5"/>
  <c r="O18" i="5"/>
  <c r="N18" i="5"/>
  <c r="C4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</author>
  </authors>
  <commentList>
    <comment ref="A1" authorId="0" shapeId="0" xr:uid="{50D4FC1B-3913-410D-9D4D-9736EE4A6E9E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Timestamp="1709012989"&gt;&lt;FQL&gt;&lt;Q&gt;EXTR^P(01/17/2023)&lt;/Q&gt;&lt;R&gt;1&lt;/R&gt;&lt;C&gt;1&lt;/C&gt;&lt;D xsi:type="xsd:double"&gt;19.77&lt;/D&gt;&lt;/FQL&gt;&lt;FQL&gt;&lt;Q&gt;EXTR^P(02/23/2023)&lt;/Q&gt;&lt;R&gt;1&lt;/R&gt;&lt;C&gt;1&lt;/C&gt;&lt;D xsi:type="xsd:double"&gt;19.14&lt;/D&gt;&lt;/FQL&gt;&lt;FQL&gt;&lt;Q&gt;JNPR-US^P(02/23/2023)&lt;/Q&gt;&lt;R&gt;1&lt;/R&gt;&lt;C&gt;1&lt;/C&gt;&lt;D xsi:type="xsd:double"&gt;31.47&lt;/D&gt;&lt;/FQL&gt;&lt;FQL&gt;&lt;Q&gt;HPE-US^P(02/23/2023)&lt;/Q&gt;&lt;R&gt;1&lt;/R&gt;&lt;C&gt;1&lt;/C&gt;&lt;D xsi:type="xsd:double"&gt;15.74&lt;/D&gt;&lt;/FQL&gt;&lt;FQL&gt;&lt;Q&gt;ANET-US^P(02/23/2023)&lt;/Q&gt;&lt;R&gt;1&lt;/R&gt;&lt;C&gt;1&lt;/C&gt;&lt;D xsi:type="xsd:double"&gt;136.84&lt;/D&gt;&lt;/FQL&gt;&lt;FQL&gt;&lt;Q&gt;CSCO-US^P(02/23/2023)&lt;/Q&gt;&lt;R&gt;1&lt;/R&gt;&lt;C&gt;1&lt;/C&gt;&lt;D xsi:type="xsd:double"&gt;49.21&lt;/D&gt;&lt;/FQL&gt;&lt;FQL&gt;&lt;Q&gt;JNPR-US^P(02/23/2024)&lt;/Q&gt;&lt;R&gt;1&lt;/R&gt;&lt;C&gt;1&lt;/C&gt;&lt;D xsi:type="xsd:double"&gt;37.18&lt;/D&gt;&lt;/FQL&gt;&lt;FQL&gt;&lt;Q&gt;HPE-US^P(02/23/2024)&lt;/Q&gt;&lt;R&gt;1&lt;/R&gt;&lt;C&gt;1&lt;/C&gt;&lt;D xsi:type="xsd:double"&gt;15.11&lt;/D&gt;&lt;/FQL&gt;&lt;FQL&gt;&lt;Q&gt;ANET-US^P(02/23/2024)&lt;/Q&gt;&lt;R&gt;1&lt;/R&gt;&lt;C&gt;1&lt;/C&gt;&lt;D xsi:type="xsd:double"&gt;267.66&lt;/D&gt;&lt;/FQL&gt;&lt;FQL&gt;&lt;Q&gt;CSCO-US^P(02/23/2024)&lt;/Q&gt;&lt;R&gt;1&lt;/R&gt;&lt;C&gt;1&lt;/C&gt;&lt;D xsi:type="xsd:double"&gt;48.86&lt;/D&gt;&lt;/FQL&gt;&lt;FQL&gt;&lt;Q&gt;EXTR-US^P(02/23/2024)&lt;/Q&gt;&lt;R&gt;1&lt;/R&gt;&lt;C&gt;1&lt;/C&gt;&lt;D xsi:type="xsd:double"&gt;12.38&lt;/D&gt;&lt;/FQL&gt;&lt;/Schema&gt;</t>
        </r>
      </text>
    </comment>
  </commentList>
</comments>
</file>

<file path=xl/sharedStrings.xml><?xml version="1.0" encoding="utf-8"?>
<sst xmlns="http://schemas.openxmlformats.org/spreadsheetml/2006/main" count="384" uniqueCount="226">
  <si>
    <t>Comparable Company Inputs</t>
  </si>
  <si>
    <t>Refresh Date</t>
  </si>
  <si>
    <t>Company Name</t>
  </si>
  <si>
    <t>($ in millions, except per share data)</t>
  </si>
  <si>
    <t>Ticker</t>
  </si>
  <si>
    <t>Last Closing Price</t>
  </si>
  <si>
    <t>General Inputs</t>
  </si>
  <si>
    <t>Share Counts</t>
  </si>
  <si>
    <t>Source</t>
  </si>
  <si>
    <t>Basic Share Count</t>
  </si>
  <si>
    <t>Date of Source</t>
  </si>
  <si>
    <t>RSUs/PSUs/Other</t>
  </si>
  <si>
    <t>Total Basic Share Count</t>
  </si>
  <si>
    <t>Exercise Price</t>
  </si>
  <si>
    <t>Options Type</t>
  </si>
  <si>
    <t>Option Tranche 1</t>
  </si>
  <si>
    <t># Options Exercised</t>
  </si>
  <si>
    <t>Option Proceeds</t>
  </si>
  <si>
    <t>Option Tranche 2</t>
  </si>
  <si>
    <t>Option Tranche 3</t>
  </si>
  <si>
    <t>Option Tranche 4</t>
  </si>
  <si>
    <t>Option Tranche 5</t>
  </si>
  <si>
    <t>Option Tranche 6</t>
  </si>
  <si>
    <t>Option Tranche 7</t>
  </si>
  <si>
    <t>Option Tranche 8</t>
  </si>
  <si>
    <t>Option Tranche 9</t>
  </si>
  <si>
    <t>Option Tranche 10</t>
  </si>
  <si>
    <t>Total Options Exercised</t>
  </si>
  <si>
    <t>Total Proceeds from Options</t>
  </si>
  <si>
    <t>Share Repurchased</t>
  </si>
  <si>
    <t>Net Dilution from Options</t>
  </si>
  <si>
    <t>Warrant Tranche 1</t>
  </si>
  <si>
    <t>Warrant Tranche 2</t>
  </si>
  <si>
    <t># Warrants Exercised</t>
  </si>
  <si>
    <t>Warrants Proceeds</t>
  </si>
  <si>
    <t>Total Warrants Exercised</t>
  </si>
  <si>
    <t>Total Proceeds from Warrants</t>
  </si>
  <si>
    <t>Net Dilution from Warrants</t>
  </si>
  <si>
    <t>Dilution from Convertible Debt</t>
  </si>
  <si>
    <t>Dilution from Preferred Stock</t>
  </si>
  <si>
    <t>Fully Diluted Shares Outstanding</t>
  </si>
  <si>
    <t>Balance Sheet Data</t>
  </si>
  <si>
    <t>Short-Term Investments</t>
  </si>
  <si>
    <t>Long-Term Investments</t>
  </si>
  <si>
    <t>Cash &amp; Cash Equivalents</t>
  </si>
  <si>
    <t>Accounts Receivable</t>
  </si>
  <si>
    <t>Inventory</t>
  </si>
  <si>
    <t>Goodwill &amp; Intangibles</t>
  </si>
  <si>
    <t>Notes Payable</t>
  </si>
  <si>
    <t>Current Portion of Long-Term Debt</t>
  </si>
  <si>
    <t>Current Portion of Capitalized Leases</t>
  </si>
  <si>
    <t>Other Short-Term Debt</t>
  </si>
  <si>
    <t>Total Short-Term Debt</t>
  </si>
  <si>
    <t>Capitalized Leases</t>
  </si>
  <si>
    <t>Total Long-Term Debt</t>
  </si>
  <si>
    <t>Minority Interests</t>
  </si>
  <si>
    <t>Preferred Stock</t>
  </si>
  <si>
    <t>Cash</t>
  </si>
  <si>
    <t>Other Long-Term Debt</t>
  </si>
  <si>
    <t>Long-Term Debt</t>
  </si>
  <si>
    <t>Total Shareholders' Equity</t>
  </si>
  <si>
    <t>Historical Income Statement</t>
  </si>
  <si>
    <t>OPTIONS DETAIL (in millions)</t>
  </si>
  <si>
    <t>WARRANTS DETAIL (in millions)</t>
  </si>
  <si>
    <t>OTHER DILUTION</t>
  </si>
  <si>
    <t>LATEST FISCAL YEAR</t>
  </si>
  <si>
    <t>Revenue</t>
  </si>
  <si>
    <t>Gross Profit</t>
  </si>
  <si>
    <t>Operating Income (EBIT)</t>
  </si>
  <si>
    <t>Pre-tax Income (EBT)</t>
  </si>
  <si>
    <t>Tax (expense) / benefit</t>
  </si>
  <si>
    <t>Net Income</t>
  </si>
  <si>
    <t>Diluted Weighted Avg. Shares</t>
  </si>
  <si>
    <t>Depreciation &amp; Amortization</t>
  </si>
  <si>
    <t>Non-GAAP Operating Adjustments</t>
  </si>
  <si>
    <t>Non-GAAP Non-Operating Adjustments</t>
  </si>
  <si>
    <t>Tax Effect on Non-GAAP Adjustments</t>
  </si>
  <si>
    <t>Adjusted EBIT</t>
  </si>
  <si>
    <t>Adjusted EBITDA</t>
  </si>
  <si>
    <t>Adjusted Net Income</t>
  </si>
  <si>
    <t>COGS (enter as -)</t>
  </si>
  <si>
    <t>Operating Expenses</t>
  </si>
  <si>
    <t>Non-operating (expense) / benefit</t>
  </si>
  <si>
    <t>Calculated Tax Rate</t>
  </si>
  <si>
    <t>LATEST FISCAL QUARTERS (YTD)</t>
  </si>
  <si>
    <t>Financial Data and Forecasts</t>
  </si>
  <si>
    <t>FISCAL YEAR END</t>
  </si>
  <si>
    <t>EXTR</t>
  </si>
  <si>
    <t>Last Fiscal Year</t>
  </si>
  <si>
    <t>FY1</t>
  </si>
  <si>
    <t>FY2</t>
  </si>
  <si>
    <t>FY3</t>
  </si>
  <si>
    <t>LTM SUMMARY</t>
  </si>
  <si>
    <t>LTM Revenue</t>
  </si>
  <si>
    <t>LTM Adjusted EBITDA</t>
  </si>
  <si>
    <t>LTM Adjusted EBIT</t>
  </si>
  <si>
    <t>LTM Adjusted Net Income</t>
  </si>
  <si>
    <t>PRIOR FISCAL QUARTERS (YTD -1)</t>
  </si>
  <si>
    <t>Adjusted EPS</t>
  </si>
  <si>
    <t>LTM Adjusted EPS</t>
  </si>
  <si>
    <t>CALENDARIZED FORECASTS</t>
  </si>
  <si>
    <t>% of Last FY</t>
  </si>
  <si>
    <t>% of Next FY</t>
  </si>
  <si>
    <t>CY1</t>
  </si>
  <si>
    <t>CY2</t>
  </si>
  <si>
    <t>CY3</t>
  </si>
  <si>
    <t>FY1 Date</t>
  </si>
  <si>
    <t>FY4</t>
  </si>
  <si>
    <t>Price Per Share</t>
  </si>
  <si>
    <t>Market Value of Equity</t>
  </si>
  <si>
    <t>Total Debt</t>
  </si>
  <si>
    <t>Minority Interest</t>
  </si>
  <si>
    <t>Net Debt</t>
  </si>
  <si>
    <t>Enterprise Value</t>
  </si>
  <si>
    <t>Latest Fiscal YEAR End</t>
  </si>
  <si>
    <t>Latest Fiscal QUARTER End</t>
  </si>
  <si>
    <t>Recent Calendarized Date</t>
  </si>
  <si>
    <t>CY0</t>
  </si>
  <si>
    <t>CY0 Date</t>
  </si>
  <si>
    <t>Summary Market Valuation Data</t>
  </si>
  <si>
    <t>Equity Method Investments</t>
  </si>
  <si>
    <t>Other Non-operating Assets</t>
  </si>
  <si>
    <t>PP&amp;E, Net</t>
  </si>
  <si>
    <t>This sheet contains FactSet XML data for use with this workbook's =FDS codes.  Modifying the worksheet's contents may damage the workbook's =FDS functionality.</t>
  </si>
  <si>
    <t>Company</t>
  </si>
  <si>
    <t>Price</t>
  </si>
  <si>
    <t>Enterprise</t>
  </si>
  <si>
    <t>Value</t>
  </si>
  <si>
    <t>Market</t>
  </si>
  <si>
    <t>Cap</t>
  </si>
  <si>
    <t>LTM</t>
  </si>
  <si>
    <t>Adjusted EBITDA Margin</t>
  </si>
  <si>
    <t>NAME</t>
  </si>
  <si>
    <t>PRICE</t>
  </si>
  <si>
    <t>FDSO</t>
  </si>
  <si>
    <t>MKTCAP</t>
  </si>
  <si>
    <t>DEBT</t>
  </si>
  <si>
    <t>MININT</t>
  </si>
  <si>
    <t>PREF</t>
  </si>
  <si>
    <t>CASH</t>
  </si>
  <si>
    <t>TICKER</t>
  </si>
  <si>
    <t>LTMREV</t>
  </si>
  <si>
    <t>LTMEBITDA</t>
  </si>
  <si>
    <t>LTMEBIT</t>
  </si>
  <si>
    <t>LTMEPS</t>
  </si>
  <si>
    <t>LTMNI</t>
  </si>
  <si>
    <t>FY0REV</t>
  </si>
  <si>
    <t>FY1REV</t>
  </si>
  <si>
    <t>FY2REV</t>
  </si>
  <si>
    <t>FY3REV</t>
  </si>
  <si>
    <t>FY4REV</t>
  </si>
  <si>
    <t>FY0EBITDA</t>
  </si>
  <si>
    <t>FY1EBITDA</t>
  </si>
  <si>
    <t>FY2EBITDA</t>
  </si>
  <si>
    <t>FY3EBITDA</t>
  </si>
  <si>
    <t>FY4EBITDA</t>
  </si>
  <si>
    <t>NETDEBT</t>
  </si>
  <si>
    <t>ENTVAL</t>
  </si>
  <si>
    <t>FY0EPS</t>
  </si>
  <si>
    <t>FY1EPS</t>
  </si>
  <si>
    <t>FY2EPS</t>
  </si>
  <si>
    <t>FY3EPS</t>
  </si>
  <si>
    <t>FY4EPS</t>
  </si>
  <si>
    <t>FY0NI</t>
  </si>
  <si>
    <t>FY1NI</t>
  </si>
  <si>
    <t>FY2NI</t>
  </si>
  <si>
    <t>FY3NI</t>
  </si>
  <si>
    <t>FY4NI</t>
  </si>
  <si>
    <t>FY0EBIT</t>
  </si>
  <si>
    <t>FY1EBIT</t>
  </si>
  <si>
    <t>FY2EBIT</t>
  </si>
  <si>
    <t>FY3EBIT</t>
  </si>
  <si>
    <t>FY4EBIT</t>
  </si>
  <si>
    <t>CY0REV</t>
  </si>
  <si>
    <t>CY1REV</t>
  </si>
  <si>
    <t>CY2REV</t>
  </si>
  <si>
    <t>CY3REV</t>
  </si>
  <si>
    <t>CY0EBITDA</t>
  </si>
  <si>
    <t>CY1EBITDA</t>
  </si>
  <si>
    <t>CY2EBITDA</t>
  </si>
  <si>
    <t>CY3EBITDA</t>
  </si>
  <si>
    <t>CY0EBIT</t>
  </si>
  <si>
    <t>CY1EBIT</t>
  </si>
  <si>
    <t>CY2EBIT</t>
  </si>
  <si>
    <t>CY3EBIT</t>
  </si>
  <si>
    <t>CY0NI</t>
  </si>
  <si>
    <t>CY1NI</t>
  </si>
  <si>
    <t>CY2NI</t>
  </si>
  <si>
    <t>CY3NI</t>
  </si>
  <si>
    <t>CY0EPS</t>
  </si>
  <si>
    <t>CY1EPS</t>
  </si>
  <si>
    <t>CY2EPS</t>
  </si>
  <si>
    <t>CY3EPS</t>
  </si>
  <si>
    <t>Min</t>
  </si>
  <si>
    <t>Max</t>
  </si>
  <si>
    <t>Median</t>
  </si>
  <si>
    <t>Mean</t>
  </si>
  <si>
    <t>Adjusted Net Income Margin</t>
  </si>
  <si>
    <t>EV / EBITDA</t>
  </si>
  <si>
    <t>EV / Revenue</t>
  </si>
  <si>
    <t>Price / Earnings</t>
  </si>
  <si>
    <t>LTM Data</t>
  </si>
  <si>
    <t>Comparable Company Operating Metrics</t>
  </si>
  <si>
    <t>Comparable Company Valuation Metrics</t>
  </si>
  <si>
    <t>EPS</t>
  </si>
  <si>
    <t>Net Debt /</t>
  </si>
  <si>
    <t>LTM EBITDA</t>
  </si>
  <si>
    <t>CAGR</t>
  </si>
  <si>
    <t>Check</t>
  </si>
  <si>
    <t>2024E EV / Revenue</t>
  </si>
  <si>
    <t>2024E EV / EBITDA</t>
  </si>
  <si>
    <t>52-week High / Low</t>
  </si>
  <si>
    <t>Low</t>
  </si>
  <si>
    <t>High</t>
  </si>
  <si>
    <t>Bar</t>
  </si>
  <si>
    <t>Trading Comps Valuation</t>
  </si>
  <si>
    <t>Metric</t>
  </si>
  <si>
    <t>Implied Enterprise Value</t>
  </si>
  <si>
    <t>Less: Net Debt</t>
  </si>
  <si>
    <t>Equity Value</t>
  </si>
  <si>
    <t>'24E EV / Revenue
2.0x - 3.0x</t>
  </si>
  <si>
    <t>'24E EV / EBITDA
11.0x - 15.0x</t>
  </si>
  <si>
    <t>Analyst Price Targets
High / Low</t>
  </si>
  <si>
    <t>DCF Analysis
7%-9% WACC; 0%-2% TVGR</t>
  </si>
  <si>
    <t>&lt; Dummy Data</t>
  </si>
  <si>
    <t>H4sIAAAAAAAEAM2QvU7DMBSF0wZEEDyEdyIr/QmlQxYCAokORalYqqo41hWx6tjBP0jpY/SFwY5SGFgYuYPvtaXz3eMTDIIg+HTlu6/LoTuel8zQ6lbKHVq1DWi0YKUiqo3RCyjNpMjGyTjFE5zgJEa55cYqyARYowiP0dKWnNEnaFdyByITlvNTzy++sdsOu+2xuADFCGd7UnLICa3g98vVSjYL+ADe3e4YNc6G04aOe9a7inJZN0SBih6Jrgq2hyAMosOgaLWBGueSc+h0Gj+AcBvosd+/W7fNtEfA62i97lWFUUy8xajWVCrOyp8Mpv77fwmgnM1IStPr0XwyheRmvtlEwz7u87AfTvzwH616cxdfCnA7mCcCAAA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</si>
</sst>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_);\(#,##0\);\-_);@_)"/>
    <numFmt numFmtId="165" formatCode="&quot;$&quot;#,##0_);\(&quot;$&quot;#,##0\);&quot;$&quot;\ \-_);@_)"/>
    <numFmt numFmtId="166" formatCode="0.0%_);\(0.0%\);0.0%_);@_)"/>
    <numFmt numFmtId="167" formatCode="m/d/yy"/>
    <numFmt numFmtId="168" formatCode="&quot;$&quot;#,##0.0_);\(&quot;$&quot;#,##0.0\);&quot;$&quot;\ \-_);@_)"/>
    <numFmt numFmtId="169" formatCode="&quot;$&quot;#,##0.00_);\(&quot;$&quot;#,##0.00\);&quot;$&quot;\ \-_);@_)"/>
    <numFmt numFmtId="170" formatCode="#,##0.00_);\(#,##0.00\);\-_);@_)"/>
    <numFmt numFmtId="171" formatCode="#,##0.0_);\(#,##0.0\);\-_);@_)"/>
    <numFmt numFmtId="172" formatCode="#,##0.000_);\(#,##0.000\);\-_);@_)"/>
    <numFmt numFmtId="173" formatCode="#,##0.0_);\(#,##0.0\)"/>
    <numFmt numFmtId="174" formatCode="yyyy&quot;A&quot;"/>
    <numFmt numFmtId="175" formatCode="yyyy&quot;E&quot;"/>
    <numFmt numFmtId="176" formatCode="0.0\x_);\(0.0\x\);0.0\x_);@_)"/>
  </numFmts>
  <fonts count="2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4"/>
      <color rgb="FFFFFFFF"/>
      <name val="Arial"/>
      <family val="2"/>
    </font>
    <font>
      <i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indexed="81"/>
      <name val="Tahoma"/>
      <family val="2"/>
    </font>
    <font>
      <i/>
      <sz val="10"/>
      <color rgb="FF0000FF"/>
      <name val="Arial"/>
      <family val="2"/>
    </font>
    <font>
      <b/>
      <sz val="10"/>
      <color rgb="FF0000FF"/>
      <name val="Arial"/>
      <family val="2"/>
    </font>
    <font>
      <i/>
      <sz val="10"/>
      <color rgb="FF660066"/>
      <name val="Arial"/>
      <family val="2"/>
    </font>
    <font>
      <sz val="10"/>
      <color rgb="FF660066"/>
      <name val="Arial"/>
      <family val="2"/>
    </font>
    <font>
      <sz val="10"/>
      <color rgb="FFFF0000"/>
      <name val="Arial"/>
      <family val="2"/>
    </font>
    <font>
      <b/>
      <sz val="10"/>
      <color rgb="FF008000"/>
      <name val="Arial"/>
      <family val="2"/>
    </font>
    <font>
      <b/>
      <u val="singleAccounting"/>
      <sz val="10"/>
      <color theme="1"/>
      <name val="Arial"/>
      <family val="2"/>
    </font>
    <font>
      <b/>
      <sz val="10"/>
      <color rgb="FF660066"/>
      <name val="Arial"/>
      <family val="2"/>
    </font>
    <font>
      <b/>
      <u val="singleAccounting"/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rgb="FF008000"/>
      <name val="Arial"/>
      <family val="2"/>
    </font>
    <font>
      <b/>
      <u val="singleAccounting"/>
      <sz val="10"/>
      <color rgb="FFFFFFFF"/>
      <name val="Arial"/>
      <family val="2"/>
    </font>
    <font>
      <sz val="10"/>
      <color rgb="FFFFFFFF"/>
      <name val="Arial"/>
      <family val="2"/>
    </font>
    <font>
      <b/>
      <i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B8E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0" xfId="0" applyFont="1"/>
    <xf numFmtId="0" fontId="0" fillId="2" borderId="0" xfId="0" applyFill="1"/>
    <xf numFmtId="0" fontId="4" fillId="2" borderId="0" xfId="0" applyFont="1" applyFill="1"/>
    <xf numFmtId="0" fontId="5" fillId="0" borderId="0" xfId="0" applyFont="1"/>
    <xf numFmtId="0" fontId="1" fillId="0" borderId="0" xfId="0" applyFont="1"/>
    <xf numFmtId="0" fontId="3" fillId="4" borderId="0" xfId="0" applyFont="1" applyFill="1" applyAlignment="1">
      <alignment horizontal="center"/>
    </xf>
    <xf numFmtId="0" fontId="0" fillId="4" borderId="0" xfId="0" applyFill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0" fillId="0" borderId="0" xfId="0" applyAlignment="1">
      <alignment horizontal="left" indent="1"/>
    </xf>
    <xf numFmtId="0" fontId="6" fillId="0" borderId="0" xfId="0" applyFont="1"/>
    <xf numFmtId="164" fontId="1" fillId="0" borderId="2" xfId="0" applyNumberFormat="1" applyFont="1" applyBorder="1"/>
    <xf numFmtId="0" fontId="6" fillId="0" borderId="4" xfId="0" applyFont="1" applyBorder="1"/>
    <xf numFmtId="0" fontId="1" fillId="3" borderId="3" xfId="0" applyFont="1" applyFill="1" applyBorder="1"/>
    <xf numFmtId="0" fontId="0" fillId="3" borderId="3" xfId="0" applyFill="1" applyBorder="1"/>
    <xf numFmtId="0" fontId="1" fillId="0" borderId="4" xfId="0" applyFont="1" applyBorder="1"/>
    <xf numFmtId="0" fontId="0" fillId="0" borderId="4" xfId="0" applyBorder="1"/>
    <xf numFmtId="166" fontId="5" fillId="0" borderId="0" xfId="0" applyNumberFormat="1" applyFont="1"/>
    <xf numFmtId="167" fontId="3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5" fillId="0" borderId="4" xfId="0" applyFont="1" applyBorder="1" applyAlignment="1">
      <alignment horizontal="right"/>
    </xf>
    <xf numFmtId="0" fontId="2" fillId="0" borderId="0" xfId="0" applyFont="1" applyAlignment="1">
      <alignment horizontal="left"/>
    </xf>
    <xf numFmtId="165" fontId="1" fillId="0" borderId="2" xfId="0" applyNumberFormat="1" applyFont="1" applyBorder="1"/>
    <xf numFmtId="168" fontId="1" fillId="0" borderId="0" xfId="0" applyNumberFormat="1" applyFont="1"/>
    <xf numFmtId="169" fontId="1" fillId="0" borderId="0" xfId="0" applyNumberFormat="1" applyFont="1"/>
    <xf numFmtId="169" fontId="3" fillId="4" borderId="0" xfId="0" applyNumberFormat="1" applyFont="1" applyFill="1"/>
    <xf numFmtId="169" fontId="3" fillId="4" borderId="0" xfId="0" applyNumberFormat="1" applyFont="1" applyFill="1" applyAlignment="1">
      <alignment horizontal="center"/>
    </xf>
    <xf numFmtId="167" fontId="3" fillId="4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right"/>
    </xf>
    <xf numFmtId="166" fontId="0" fillId="0" borderId="0" xfId="0" applyNumberFormat="1"/>
    <xf numFmtId="164" fontId="3" fillId="4" borderId="0" xfId="0" applyNumberFormat="1" applyFont="1" applyFill="1"/>
    <xf numFmtId="170" fontId="0" fillId="0" borderId="0" xfId="0" applyNumberFormat="1"/>
    <xf numFmtId="171" fontId="0" fillId="0" borderId="0" xfId="0" applyNumberFormat="1"/>
    <xf numFmtId="171" fontId="3" fillId="4" borderId="0" xfId="0" applyNumberFormat="1" applyFont="1" applyFill="1"/>
    <xf numFmtId="170" fontId="3" fillId="4" borderId="0" xfId="0" applyNumberFormat="1" applyFont="1" applyFill="1"/>
    <xf numFmtId="167" fontId="0" fillId="0" borderId="0" xfId="0" applyNumberFormat="1" applyAlignment="1">
      <alignment horizontal="center"/>
    </xf>
    <xf numFmtId="172" fontId="3" fillId="4" borderId="0" xfId="0" applyNumberFormat="1" applyFont="1" applyFill="1"/>
    <xf numFmtId="172" fontId="0" fillId="0" borderId="2" xfId="0" applyNumberFormat="1" applyBorder="1"/>
    <xf numFmtId="172" fontId="1" fillId="0" borderId="0" xfId="0" applyNumberFormat="1" applyFont="1"/>
    <xf numFmtId="171" fontId="1" fillId="0" borderId="2" xfId="0" applyNumberFormat="1" applyFont="1" applyBorder="1"/>
    <xf numFmtId="172" fontId="1" fillId="0" borderId="2" xfId="0" applyNumberFormat="1" applyFont="1" applyBorder="1"/>
    <xf numFmtId="0" fontId="8" fillId="4" borderId="0" xfId="0" applyFont="1" applyFill="1" applyAlignment="1">
      <alignment horizontal="center"/>
    </xf>
    <xf numFmtId="171" fontId="9" fillId="4" borderId="2" xfId="0" applyNumberFormat="1" applyFont="1" applyFill="1" applyBorder="1"/>
    <xf numFmtId="168" fontId="0" fillId="0" borderId="2" xfId="0" applyNumberFormat="1" applyBorder="1"/>
    <xf numFmtId="168" fontId="1" fillId="0" borderId="2" xfId="0" applyNumberFormat="1" applyFont="1" applyBorder="1"/>
    <xf numFmtId="171" fontId="3" fillId="4" borderId="4" xfId="0" applyNumberFormat="1" applyFont="1" applyFill="1" applyBorder="1"/>
    <xf numFmtId="168" fontId="0" fillId="0" borderId="0" xfId="0" applyNumberFormat="1"/>
    <xf numFmtId="167" fontId="10" fillId="4" borderId="0" xfId="0" applyNumberFormat="1" applyFont="1" applyFill="1" applyAlignment="1">
      <alignment horizontal="center"/>
    </xf>
    <xf numFmtId="164" fontId="0" fillId="4" borderId="0" xfId="0" applyNumberFormat="1" applyFill="1" applyAlignment="1">
      <alignment horizontal="right"/>
    </xf>
    <xf numFmtId="170" fontId="0" fillId="4" borderId="0" xfId="0" applyNumberFormat="1" applyFill="1" applyAlignment="1">
      <alignment horizontal="right"/>
    </xf>
    <xf numFmtId="169" fontId="11" fillId="0" borderId="0" xfId="0" applyNumberFormat="1" applyFont="1"/>
    <xf numFmtId="171" fontId="11" fillId="0" borderId="0" xfId="0" applyNumberFormat="1" applyFont="1"/>
    <xf numFmtId="173" fontId="0" fillId="0" borderId="0" xfId="0" applyNumberFormat="1"/>
    <xf numFmtId="0" fontId="3" fillId="0" borderId="0" xfId="0" applyFont="1"/>
    <xf numFmtId="0" fontId="12" fillId="0" borderId="0" xfId="0" applyFont="1"/>
    <xf numFmtId="0" fontId="0" fillId="0" borderId="2" xfId="0" applyBorder="1"/>
    <xf numFmtId="0" fontId="1" fillId="0" borderId="0" xfId="0" applyFont="1" applyAlignment="1">
      <alignment horizontal="center"/>
    </xf>
    <xf numFmtId="0" fontId="14" fillId="0" borderId="0" xfId="0" applyFont="1" applyAlignment="1">
      <alignment horizontal="centerContinuous"/>
    </xf>
    <xf numFmtId="0" fontId="1" fillId="0" borderId="4" xfId="0" applyFont="1" applyBorder="1" applyAlignment="1">
      <alignment horizontal="center"/>
    </xf>
    <xf numFmtId="174" fontId="13" fillId="0" borderId="4" xfId="0" applyNumberFormat="1" applyFont="1" applyBorder="1" applyAlignment="1">
      <alignment horizontal="center"/>
    </xf>
    <xf numFmtId="175" fontId="1" fillId="0" borderId="4" xfId="0" applyNumberFormat="1" applyFont="1" applyBorder="1" applyAlignment="1">
      <alignment horizontal="center"/>
    </xf>
    <xf numFmtId="174" fontId="15" fillId="0" borderId="4" xfId="0" applyNumberFormat="1" applyFont="1" applyBorder="1" applyAlignment="1">
      <alignment horizontal="center"/>
    </xf>
    <xf numFmtId="175" fontId="15" fillId="0" borderId="4" xfId="0" applyNumberFormat="1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16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5" borderId="3" xfId="0" applyFill="1" applyBorder="1" applyAlignment="1">
      <alignment vertical="center"/>
    </xf>
    <xf numFmtId="169" fontId="0" fillId="5" borderId="3" xfId="0" applyNumberFormat="1" applyFill="1" applyBorder="1" applyAlignment="1">
      <alignment horizontal="right" vertical="center"/>
    </xf>
    <xf numFmtId="165" fontId="0" fillId="5" borderId="3" xfId="0" applyNumberFormat="1" applyFill="1" applyBorder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165" fontId="0" fillId="6" borderId="0" xfId="0" applyNumberFormat="1" applyFill="1" applyAlignment="1">
      <alignment vertical="center"/>
    </xf>
    <xf numFmtId="0" fontId="3" fillId="6" borderId="4" xfId="0" applyFont="1" applyFill="1" applyBorder="1" applyAlignment="1">
      <alignment vertical="center"/>
    </xf>
    <xf numFmtId="0" fontId="0" fillId="6" borderId="4" xfId="0" applyFill="1" applyBorder="1" applyAlignment="1">
      <alignment vertical="center"/>
    </xf>
    <xf numFmtId="174" fontId="9" fillId="0" borderId="4" xfId="0" applyNumberFormat="1" applyFont="1" applyBorder="1" applyAlignment="1">
      <alignment horizontal="center"/>
    </xf>
    <xf numFmtId="175" fontId="13" fillId="0" borderId="4" xfId="0" applyNumberFormat="1" applyFont="1" applyBorder="1" applyAlignment="1">
      <alignment horizontal="center"/>
    </xf>
    <xf numFmtId="176" fontId="0" fillId="0" borderId="0" xfId="0" applyNumberFormat="1" applyAlignment="1">
      <alignment horizontal="right"/>
    </xf>
    <xf numFmtId="176" fontId="0" fillId="6" borderId="0" xfId="0" applyNumberFormat="1" applyFill="1" applyAlignment="1">
      <alignment vertical="center"/>
    </xf>
    <xf numFmtId="176" fontId="0" fillId="6" borderId="4" xfId="0" applyNumberFormat="1" applyFill="1" applyBorder="1" applyAlignment="1">
      <alignment vertical="center"/>
    </xf>
    <xf numFmtId="176" fontId="0" fillId="5" borderId="3" xfId="0" applyNumberFormat="1" applyFill="1" applyBorder="1" applyAlignment="1">
      <alignment horizontal="right" vertical="center"/>
    </xf>
    <xf numFmtId="176" fontId="0" fillId="5" borderId="3" xfId="0" applyNumberFormat="1" applyFill="1" applyBorder="1" applyAlignment="1">
      <alignment vertical="center"/>
    </xf>
    <xf numFmtId="169" fontId="0" fillId="0" borderId="0" xfId="0" applyNumberFormat="1"/>
    <xf numFmtId="169" fontId="0" fillId="0" borderId="0" xfId="0" applyNumberFormat="1" applyAlignment="1">
      <alignment vertical="center"/>
    </xf>
    <xf numFmtId="169" fontId="0" fillId="0" borderId="0" xfId="0" applyNumberFormat="1" applyAlignment="1">
      <alignment horizontal="right" vertical="center"/>
    </xf>
    <xf numFmtId="176" fontId="0" fillId="0" borderId="0" xfId="0" applyNumberFormat="1"/>
    <xf numFmtId="0" fontId="14" fillId="0" borderId="0" xfId="0" applyFont="1" applyAlignment="1">
      <alignment horizontal="center"/>
    </xf>
    <xf numFmtId="166" fontId="5" fillId="6" borderId="0" xfId="0" applyNumberFormat="1" applyFont="1" applyFill="1" applyAlignment="1">
      <alignment vertical="center"/>
    </xf>
    <xf numFmtId="166" fontId="5" fillId="6" borderId="4" xfId="0" applyNumberFormat="1" applyFont="1" applyFill="1" applyBorder="1" applyAlignment="1">
      <alignment vertical="center"/>
    </xf>
    <xf numFmtId="166" fontId="5" fillId="5" borderId="3" xfId="0" applyNumberFormat="1" applyFont="1" applyFill="1" applyBorder="1" applyAlignment="1">
      <alignment vertical="center"/>
    </xf>
    <xf numFmtId="10" fontId="0" fillId="0" borderId="0" xfId="0" applyNumberFormat="1"/>
    <xf numFmtId="166" fontId="5" fillId="0" borderId="0" xfId="0" applyNumberFormat="1" applyFont="1" applyAlignment="1">
      <alignment horizontal="right"/>
    </xf>
    <xf numFmtId="176" fontId="0" fillId="0" borderId="0" xfId="0" applyNumberFormat="1" applyAlignment="1">
      <alignment horizontal="right" vertical="center"/>
    </xf>
    <xf numFmtId="0" fontId="16" fillId="0" borderId="0" xfId="0" applyFont="1" applyAlignment="1">
      <alignment horizontal="centerContinuous"/>
    </xf>
    <xf numFmtId="0" fontId="17" fillId="0" borderId="0" xfId="0" applyFont="1" applyAlignment="1">
      <alignment horizontal="center"/>
    </xf>
    <xf numFmtId="0" fontId="0" fillId="0" borderId="0" xfId="0" applyAlignment="1">
      <alignment horizontal="right"/>
    </xf>
    <xf numFmtId="165" fontId="18" fillId="0" borderId="0" xfId="0" applyNumberFormat="1" applyFont="1"/>
    <xf numFmtId="0" fontId="1" fillId="0" borderId="0" xfId="0" applyFont="1" applyAlignment="1">
      <alignment horizontal="right"/>
    </xf>
    <xf numFmtId="0" fontId="1" fillId="0" borderId="2" xfId="0" applyFont="1" applyBorder="1"/>
    <xf numFmtId="165" fontId="6" fillId="0" borderId="2" xfId="0" applyNumberFormat="1" applyFont="1" applyBorder="1"/>
    <xf numFmtId="0" fontId="3" fillId="0" borderId="1" xfId="0" applyFont="1" applyBorder="1" applyAlignment="1">
      <alignment horizontal="center" vertical="center"/>
    </xf>
    <xf numFmtId="171" fontId="0" fillId="0" borderId="0" xfId="0" applyNumberFormat="1" applyAlignment="1">
      <alignment horizontal="right"/>
    </xf>
    <xf numFmtId="169" fontId="6" fillId="0" borderId="2" xfId="0" applyNumberFormat="1" applyFont="1" applyBorder="1"/>
    <xf numFmtId="0" fontId="3" fillId="4" borderId="0" xfId="0" applyFont="1" applyFill="1"/>
    <xf numFmtId="0" fontId="19" fillId="2" borderId="0" xfId="0" applyFont="1" applyFill="1" applyAlignment="1">
      <alignment horizontal="centerContinuous"/>
    </xf>
    <xf numFmtId="0" fontId="20" fillId="2" borderId="0" xfId="0" applyFont="1" applyFill="1" applyAlignment="1">
      <alignment horizontal="centerContinuous"/>
    </xf>
    <xf numFmtId="0" fontId="1" fillId="0" borderId="0" xfId="0" quotePrefix="1" applyFont="1" applyAlignment="1">
      <alignment wrapText="1"/>
    </xf>
    <xf numFmtId="0" fontId="1" fillId="0" borderId="0" xfId="0" applyFont="1" applyAlignment="1">
      <alignment wrapText="1"/>
    </xf>
    <xf numFmtId="0" fontId="21" fillId="0" borderId="0" xfId="0" applyFont="1"/>
    <xf numFmtId="169" fontId="3" fillId="0" borderId="5" xfId="0" applyNumberFormat="1" applyFont="1" applyBorder="1"/>
    <xf numFmtId="169" fontId="3" fillId="0" borderId="6" xfId="0" applyNumberFormat="1" applyFont="1" applyBorder="1"/>
    <xf numFmtId="170" fontId="0" fillId="0" borderId="2" xfId="0" applyNumberFormat="1" applyBorder="1"/>
    <xf numFmtId="169" fontId="3" fillId="0" borderId="8" xfId="0" applyNumberFormat="1" applyFont="1" applyBorder="1"/>
    <xf numFmtId="169" fontId="3" fillId="0" borderId="9" xfId="0" applyNumberFormat="1" applyFont="1" applyBorder="1"/>
    <xf numFmtId="169" fontId="0" fillId="4" borderId="5" xfId="0" applyNumberFormat="1" applyFill="1" applyBorder="1"/>
    <xf numFmtId="170" fontId="0" fillId="4" borderId="0" xfId="0" applyNumberFormat="1" applyFill="1"/>
    <xf numFmtId="169" fontId="0" fillId="4" borderId="9" xfId="0" applyNumberFormat="1" applyFill="1" applyBorder="1"/>
    <xf numFmtId="169" fontId="0" fillId="4" borderId="7" xfId="0" applyNumberFormat="1" applyFill="1" applyBorder="1"/>
    <xf numFmtId="170" fontId="0" fillId="4" borderId="4" xfId="0" applyNumberFormat="1" applyFill="1" applyBorder="1"/>
    <xf numFmtId="169" fontId="0" fillId="4" borderId="10" xfId="0" applyNumberFormat="1" applyFill="1" applyBorder="1"/>
    <xf numFmtId="0" fontId="9" fillId="4" borderId="0" xfId="0" applyFont="1" applyFill="1"/>
    <xf numFmtId="176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0B8ECC"/>
      <color rgb="FF0B8E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101919</xdr:colOff>
      <xdr:row>21</xdr:row>
      <xdr:rowOff>139879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27E587-FF66-D822-E09D-4A688C718E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67640"/>
          <a:ext cx="6197919" cy="3492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BD6A6-B236-448A-99AC-242336F05756}">
  <dimension ref="A1:B1"/>
  <sheetViews>
    <sheetView workbookViewId="0"/>
  </sheetViews>
  <sheetFormatPr defaultRowHeight="12.5" x14ac:dyDescent="0.25"/>
  <sheetData>
    <row r="1" spans="1:2" x14ac:dyDescent="0.25">
      <c r="B1" t="s">
        <v>123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E1CA0-D183-4DA6-B7C8-815BE466D09D}">
  <dimension ref="A1"/>
  <sheetViews>
    <sheetView workbookViewId="0"/>
  </sheetViews>
  <sheetFormatPr defaultRowHeight="12.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22C9-2A5A-462E-BDCB-7351CA6EEA9E}">
  <dimension ref="A1"/>
  <sheetViews>
    <sheetView workbookViewId="0"/>
  </sheetViews>
  <sheetFormatPr defaultRowHeight="12.5" x14ac:dyDescent="0.25"/>
  <sheetData>
    <row r="1" spans="1:1" x14ac:dyDescent="0.25">
      <c r="A1" t="s">
        <v>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5B55-3425-483F-BFA7-38614356291C}">
  <sheetPr>
    <tabColor theme="4" tint="-0.249977111117893"/>
  </sheetPr>
  <dimension ref="A2:O309"/>
  <sheetViews>
    <sheetView showGridLines="0" tabSelected="1" zoomScale="115" zoomScaleNormal="115" workbookViewId="0"/>
  </sheetViews>
  <sheetFormatPr defaultRowHeight="12.5" outlineLevelRow="1" x14ac:dyDescent="0.25"/>
  <cols>
    <col min="2" max="2" width="33.6328125" bestFit="1" customWidth="1"/>
    <col min="3" max="3" width="14" customWidth="1"/>
    <col min="4" max="4" width="0.7265625" customWidth="1"/>
    <col min="5" max="5" width="15.7265625" customWidth="1"/>
    <col min="6" max="6" width="0.7265625" customWidth="1"/>
    <col min="7" max="7" width="15.7265625" customWidth="1"/>
    <col min="8" max="8" width="0.7265625" customWidth="1"/>
    <col min="9" max="9" width="15.7265625" customWidth="1"/>
    <col min="10" max="10" width="0.7265625" customWidth="1"/>
    <col min="11" max="11" width="15.7265625" customWidth="1"/>
    <col min="12" max="12" width="0.7265625" customWidth="1"/>
    <col min="13" max="13" width="15.7265625" customWidth="1"/>
    <col min="14" max="14" width="0.7265625" customWidth="1"/>
  </cols>
  <sheetData>
    <row r="2" spans="1:14" ht="18" x14ac:dyDescent="0.4">
      <c r="A2" s="3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3" x14ac:dyDescent="0.3">
      <c r="A3" s="4" t="s">
        <v>3</v>
      </c>
    </row>
    <row r="5" spans="1:14" ht="13" x14ac:dyDescent="0.3">
      <c r="A5" s="5" t="s">
        <v>1</v>
      </c>
      <c r="C5" s="29"/>
    </row>
    <row r="6" spans="1:14" ht="13" x14ac:dyDescent="0.3">
      <c r="A6" s="5" t="s">
        <v>116</v>
      </c>
      <c r="C6" s="29">
        <v>45291</v>
      </c>
    </row>
    <row r="8" spans="1:14" ht="13" x14ac:dyDescent="0.3">
      <c r="A8" s="15" t="s">
        <v>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B9" t="s">
        <v>4</v>
      </c>
      <c r="C9" s="56" t="s">
        <v>140</v>
      </c>
      <c r="E9" s="6"/>
      <c r="G9" s="6"/>
      <c r="I9" s="6"/>
      <c r="K9" s="6"/>
      <c r="M9" s="6"/>
    </row>
    <row r="10" spans="1:14" x14ac:dyDescent="0.25">
      <c r="B10" t="s">
        <v>2</v>
      </c>
      <c r="C10" s="56" t="s">
        <v>132</v>
      </c>
      <c r="E10" s="6"/>
      <c r="G10" s="6"/>
      <c r="I10" s="6"/>
      <c r="K10" s="6"/>
      <c r="M10" s="6"/>
    </row>
    <row r="11" spans="1:14" x14ac:dyDescent="0.25">
      <c r="B11" t="s">
        <v>5</v>
      </c>
      <c r="C11" s="56"/>
      <c r="E11" s="28"/>
      <c r="G11" s="28"/>
      <c r="I11" s="28"/>
      <c r="K11" s="28"/>
      <c r="M11" s="28"/>
    </row>
    <row r="12" spans="1:14" x14ac:dyDescent="0.25">
      <c r="B12" t="s">
        <v>114</v>
      </c>
      <c r="E12" s="20"/>
      <c r="G12" s="20"/>
      <c r="I12" s="20"/>
      <c r="K12" s="20"/>
      <c r="M12" s="20"/>
    </row>
    <row r="13" spans="1:14" x14ac:dyDescent="0.25">
      <c r="B13" t="s">
        <v>115</v>
      </c>
      <c r="E13" s="20"/>
      <c r="G13" s="20"/>
      <c r="I13" s="20"/>
      <c r="K13" s="20"/>
      <c r="M13" s="20"/>
    </row>
    <row r="15" spans="1:14" ht="13" x14ac:dyDescent="0.3">
      <c r="A15" s="15" t="s">
        <v>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1:14" s="4" customFormat="1" ht="13" x14ac:dyDescent="0.3">
      <c r="B16" s="4" t="s">
        <v>8</v>
      </c>
      <c r="E16" s="43"/>
      <c r="G16" s="43"/>
      <c r="I16" s="43"/>
      <c r="K16" s="43"/>
      <c r="M16" s="43"/>
    </row>
    <row r="17" spans="1:14" s="4" customFormat="1" ht="13" x14ac:dyDescent="0.3">
      <c r="B17" s="4" t="s">
        <v>10</v>
      </c>
      <c r="E17" s="49">
        <f>+E13</f>
        <v>0</v>
      </c>
      <c r="G17" s="49">
        <f>+G13</f>
        <v>0</v>
      </c>
      <c r="I17" s="49">
        <f>+I13</f>
        <v>0</v>
      </c>
      <c r="K17" s="49">
        <f>+K13</f>
        <v>0</v>
      </c>
      <c r="M17" s="49">
        <f>+M13</f>
        <v>0</v>
      </c>
    </row>
    <row r="19" spans="1:14" ht="13.25" customHeight="1" x14ac:dyDescent="0.25">
      <c r="B19" t="s">
        <v>9</v>
      </c>
      <c r="E19" s="38"/>
      <c r="G19" s="38"/>
      <c r="I19" s="38"/>
      <c r="K19" s="38"/>
      <c r="M19" s="38"/>
    </row>
    <row r="20" spans="1:14" x14ac:dyDescent="0.25">
      <c r="B20" t="s">
        <v>11</v>
      </c>
      <c r="E20" s="38"/>
      <c r="G20" s="38"/>
      <c r="I20" s="38"/>
      <c r="K20" s="38"/>
      <c r="M20" s="38"/>
    </row>
    <row r="21" spans="1:14" ht="13" x14ac:dyDescent="0.3">
      <c r="B21" s="5" t="s">
        <v>12</v>
      </c>
      <c r="E21" s="39">
        <f>+E19+E20</f>
        <v>0</v>
      </c>
      <c r="G21" s="39">
        <f>+G19+G20</f>
        <v>0</v>
      </c>
      <c r="I21" s="39">
        <f>+I19+I20</f>
        <v>0</v>
      </c>
      <c r="K21" s="39">
        <f>+K19+K20</f>
        <v>0</v>
      </c>
      <c r="M21" s="39">
        <f>+M19+M20</f>
        <v>0</v>
      </c>
    </row>
    <row r="23" spans="1:14" ht="13.25" customHeight="1" x14ac:dyDescent="0.3">
      <c r="A23" s="12" t="s">
        <v>62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x14ac:dyDescent="0.25">
      <c r="B24" t="s">
        <v>14</v>
      </c>
      <c r="E24" s="6"/>
      <c r="G24" s="6"/>
      <c r="I24" s="6"/>
      <c r="K24" s="6"/>
      <c r="M24" s="6"/>
    </row>
    <row r="26" spans="1:14" x14ac:dyDescent="0.25">
      <c r="B26" t="s">
        <v>15</v>
      </c>
      <c r="E26" s="38"/>
      <c r="G26" s="38"/>
      <c r="I26" s="38"/>
      <c r="K26" s="38"/>
      <c r="M26" s="38"/>
    </row>
    <row r="27" spans="1:14" x14ac:dyDescent="0.25">
      <c r="B27" t="s">
        <v>13</v>
      </c>
      <c r="E27" s="27"/>
      <c r="G27" s="27"/>
      <c r="I27" s="27"/>
      <c r="K27" s="27"/>
      <c r="M27" s="27"/>
    </row>
    <row r="28" spans="1:14" outlineLevel="1" x14ac:dyDescent="0.25">
      <c r="B28" t="s">
        <v>16</v>
      </c>
      <c r="E28" s="39">
        <f>+IF(E$11&gt;E27,E26,0)</f>
        <v>0</v>
      </c>
      <c r="G28" s="39">
        <f>+IF(G$11&gt;G27,G26,0)</f>
        <v>0</v>
      </c>
      <c r="I28" s="39">
        <f>+IF(I$11&gt;I27,I26,0)</f>
        <v>0</v>
      </c>
      <c r="K28" s="39">
        <f>+IF(K$11&gt;K27,K26,0)</f>
        <v>0</v>
      </c>
      <c r="M28" s="39">
        <f>+IF(M$11&gt;M27,M26,0)</f>
        <v>0</v>
      </c>
    </row>
    <row r="29" spans="1:14" outlineLevel="1" x14ac:dyDescent="0.25">
      <c r="B29" t="s">
        <v>17</v>
      </c>
      <c r="E29" s="9">
        <f>+E28*E27</f>
        <v>0</v>
      </c>
      <c r="G29" s="9">
        <f>+G28*G27</f>
        <v>0</v>
      </c>
      <c r="I29" s="9">
        <f>+I28*I27</f>
        <v>0</v>
      </c>
      <c r="K29" s="9">
        <f>+K28*K27</f>
        <v>0</v>
      </c>
      <c r="M29" s="9">
        <f>+M28*M27</f>
        <v>0</v>
      </c>
    </row>
    <row r="31" spans="1:14" x14ac:dyDescent="0.25">
      <c r="B31" t="s">
        <v>18</v>
      </c>
      <c r="E31" s="38"/>
      <c r="G31" s="38"/>
      <c r="I31" s="38"/>
      <c r="K31" s="38"/>
      <c r="M31" s="38"/>
    </row>
    <row r="32" spans="1:14" x14ac:dyDescent="0.25">
      <c r="B32" t="s">
        <v>13</v>
      </c>
      <c r="E32" s="27"/>
      <c r="G32" s="27"/>
      <c r="I32" s="27"/>
      <c r="K32" s="27"/>
      <c r="M32" s="27"/>
    </row>
    <row r="33" spans="2:13" hidden="1" outlineLevel="1" x14ac:dyDescent="0.25">
      <c r="B33" t="s">
        <v>16</v>
      </c>
      <c r="E33" s="39">
        <f>+IF(E$11&gt;E32,E31,0)</f>
        <v>0</v>
      </c>
      <c r="G33" s="39">
        <f>+IF(G$11&gt;G32,G31,0)</f>
        <v>0</v>
      </c>
      <c r="I33" s="39">
        <f>+IF(I$11&gt;I32,I31,0)</f>
        <v>0</v>
      </c>
      <c r="K33" s="39">
        <f>+IF(K$11&gt;K32,K31,0)</f>
        <v>0</v>
      </c>
      <c r="M33" s="39">
        <f>+IF(M$11&gt;M32,M31,0)</f>
        <v>0</v>
      </c>
    </row>
    <row r="34" spans="2:13" hidden="1" outlineLevel="1" x14ac:dyDescent="0.25">
      <c r="B34" t="s">
        <v>17</v>
      </c>
      <c r="E34" s="9">
        <f>+E33*E32</f>
        <v>0</v>
      </c>
      <c r="G34" s="9">
        <f>+G33*G32</f>
        <v>0</v>
      </c>
      <c r="I34" s="9">
        <f>+I33*I32</f>
        <v>0</v>
      </c>
      <c r="K34" s="9">
        <f>+K33*K32</f>
        <v>0</v>
      </c>
      <c r="M34" s="9">
        <f>+M33*M32</f>
        <v>0</v>
      </c>
    </row>
    <row r="35" spans="2:13" collapsed="1" x14ac:dyDescent="0.25"/>
    <row r="36" spans="2:13" x14ac:dyDescent="0.25">
      <c r="B36" t="s">
        <v>19</v>
      </c>
      <c r="E36" s="38"/>
      <c r="G36" s="38"/>
      <c r="I36" s="38"/>
      <c r="K36" s="38"/>
      <c r="M36" s="38"/>
    </row>
    <row r="37" spans="2:13" x14ac:dyDescent="0.25">
      <c r="B37" t="s">
        <v>13</v>
      </c>
      <c r="E37" s="27"/>
      <c r="G37" s="27"/>
      <c r="I37" s="27"/>
      <c r="K37" s="27"/>
      <c r="M37" s="27"/>
    </row>
    <row r="38" spans="2:13" hidden="1" outlineLevel="1" x14ac:dyDescent="0.25">
      <c r="B38" t="s">
        <v>16</v>
      </c>
      <c r="E38" s="39">
        <f>+IF(E$11&gt;E37,E36,0)</f>
        <v>0</v>
      </c>
      <c r="G38" s="39">
        <f>+IF(G$11&gt;G37,G36,0)</f>
        <v>0</v>
      </c>
      <c r="I38" s="39">
        <f>+IF(I$11&gt;I37,I36,0)</f>
        <v>0</v>
      </c>
      <c r="K38" s="39">
        <f>+IF(K$11&gt;K37,K36,0)</f>
        <v>0</v>
      </c>
      <c r="M38" s="39">
        <f>+IF(M$11&gt;M37,M36,0)</f>
        <v>0</v>
      </c>
    </row>
    <row r="39" spans="2:13" hidden="1" outlineLevel="1" x14ac:dyDescent="0.25">
      <c r="B39" t="s">
        <v>17</v>
      </c>
      <c r="E39" s="9">
        <f>+E38*E37</f>
        <v>0</v>
      </c>
      <c r="G39" s="9">
        <f>+G38*G37</f>
        <v>0</v>
      </c>
      <c r="I39" s="9">
        <f>+I38*I37</f>
        <v>0</v>
      </c>
      <c r="K39" s="9">
        <f>+K38*K37</f>
        <v>0</v>
      </c>
      <c r="M39" s="9">
        <f>+M38*M37</f>
        <v>0</v>
      </c>
    </row>
    <row r="40" spans="2:13" collapsed="1" x14ac:dyDescent="0.25"/>
    <row r="41" spans="2:13" x14ac:dyDescent="0.25">
      <c r="B41" t="s">
        <v>20</v>
      </c>
      <c r="E41" s="38"/>
      <c r="G41" s="38"/>
      <c r="I41" s="38"/>
      <c r="K41" s="38"/>
      <c r="M41" s="38"/>
    </row>
    <row r="42" spans="2:13" x14ac:dyDescent="0.25">
      <c r="B42" t="s">
        <v>13</v>
      </c>
      <c r="E42" s="27"/>
      <c r="G42" s="27"/>
      <c r="I42" s="27"/>
      <c r="K42" s="27"/>
      <c r="M42" s="27"/>
    </row>
    <row r="43" spans="2:13" hidden="1" outlineLevel="1" x14ac:dyDescent="0.25">
      <c r="B43" t="s">
        <v>16</v>
      </c>
      <c r="E43" s="39">
        <f>+IF(E$11&gt;E42,E41,0)</f>
        <v>0</v>
      </c>
      <c r="G43" s="39">
        <f>+IF(G$11&gt;G42,G41,0)</f>
        <v>0</v>
      </c>
      <c r="I43" s="39">
        <f>+IF(I$11&gt;I42,I41,0)</f>
        <v>0</v>
      </c>
      <c r="K43" s="39">
        <f>+IF(K$11&gt;K42,K41,0)</f>
        <v>0</v>
      </c>
      <c r="M43" s="39">
        <f>+IF(M$11&gt;M42,M41,0)</f>
        <v>0</v>
      </c>
    </row>
    <row r="44" spans="2:13" hidden="1" outlineLevel="1" x14ac:dyDescent="0.25">
      <c r="B44" t="s">
        <v>17</v>
      </c>
      <c r="E44" s="9">
        <f>+E43*E42</f>
        <v>0</v>
      </c>
      <c r="G44" s="9">
        <f>+G43*G42</f>
        <v>0</v>
      </c>
      <c r="I44" s="9">
        <f>+I43*I42</f>
        <v>0</v>
      </c>
      <c r="K44" s="9">
        <f>+K43*K42</f>
        <v>0</v>
      </c>
      <c r="M44" s="9">
        <f>+M43*M42</f>
        <v>0</v>
      </c>
    </row>
    <row r="45" spans="2:13" collapsed="1" x14ac:dyDescent="0.25"/>
    <row r="46" spans="2:13" x14ac:dyDescent="0.25">
      <c r="B46" t="s">
        <v>21</v>
      </c>
      <c r="E46" s="38"/>
      <c r="G46" s="38"/>
      <c r="I46" s="38"/>
      <c r="K46" s="38"/>
      <c r="M46" s="38"/>
    </row>
    <row r="47" spans="2:13" x14ac:dyDescent="0.25">
      <c r="B47" t="s">
        <v>13</v>
      </c>
      <c r="E47" s="27"/>
      <c r="G47" s="27"/>
      <c r="I47" s="27"/>
      <c r="K47" s="27"/>
      <c r="M47" s="27"/>
    </row>
    <row r="48" spans="2:13" hidden="1" outlineLevel="1" x14ac:dyDescent="0.25">
      <c r="B48" t="s">
        <v>16</v>
      </c>
      <c r="E48" s="39">
        <f>+IF(E$11&gt;E47,E46,0)</f>
        <v>0</v>
      </c>
      <c r="G48" s="39">
        <f>+IF(G$11&gt;G47,G46,0)</f>
        <v>0</v>
      </c>
      <c r="I48" s="39">
        <f>+IF(I$11&gt;I47,I46,0)</f>
        <v>0</v>
      </c>
      <c r="K48" s="39">
        <f>+IF(K$11&gt;K47,K46,0)</f>
        <v>0</v>
      </c>
      <c r="M48" s="39">
        <f>+IF(M$11&gt;M47,M46,0)</f>
        <v>0</v>
      </c>
    </row>
    <row r="49" spans="2:13" hidden="1" outlineLevel="1" x14ac:dyDescent="0.25">
      <c r="B49" t="s">
        <v>17</v>
      </c>
      <c r="E49" s="9">
        <f>+E48*E47</f>
        <v>0</v>
      </c>
      <c r="G49" s="9">
        <f>+G48*G47</f>
        <v>0</v>
      </c>
      <c r="I49" s="9">
        <f>+I48*I47</f>
        <v>0</v>
      </c>
      <c r="K49" s="9">
        <f>+K48*K47</f>
        <v>0</v>
      </c>
      <c r="M49" s="9">
        <f>+M48*M47</f>
        <v>0</v>
      </c>
    </row>
    <row r="50" spans="2:13" collapsed="1" x14ac:dyDescent="0.25"/>
    <row r="51" spans="2:13" x14ac:dyDescent="0.25">
      <c r="B51" t="s">
        <v>22</v>
      </c>
      <c r="E51" s="38"/>
      <c r="G51" s="38"/>
      <c r="I51" s="38"/>
      <c r="K51" s="38"/>
      <c r="M51" s="38"/>
    </row>
    <row r="52" spans="2:13" x14ac:dyDescent="0.25">
      <c r="B52" t="s">
        <v>13</v>
      </c>
      <c r="E52" s="27"/>
      <c r="G52" s="27"/>
      <c r="I52" s="27"/>
      <c r="K52" s="27"/>
      <c r="M52" s="27"/>
    </row>
    <row r="53" spans="2:13" hidden="1" outlineLevel="1" x14ac:dyDescent="0.25">
      <c r="B53" t="s">
        <v>16</v>
      </c>
      <c r="E53" s="39">
        <f>+IF(E$11&gt;E52,E51,0)</f>
        <v>0</v>
      </c>
      <c r="G53" s="39">
        <f>+IF(G$11&gt;G52,G51,0)</f>
        <v>0</v>
      </c>
      <c r="I53" s="39">
        <f>+IF(I$11&gt;I52,I51,0)</f>
        <v>0</v>
      </c>
      <c r="K53" s="39">
        <f>+IF(K$11&gt;K52,K51,0)</f>
        <v>0</v>
      </c>
      <c r="M53" s="39">
        <f>+IF(M$11&gt;M52,M51,0)</f>
        <v>0</v>
      </c>
    </row>
    <row r="54" spans="2:13" hidden="1" outlineLevel="1" x14ac:dyDescent="0.25">
      <c r="B54" t="s">
        <v>17</v>
      </c>
      <c r="E54" s="9">
        <f>+E53*E52</f>
        <v>0</v>
      </c>
      <c r="G54" s="9">
        <f>+G53*G52</f>
        <v>0</v>
      </c>
      <c r="I54" s="9">
        <f>+I53*I52</f>
        <v>0</v>
      </c>
      <c r="K54" s="9">
        <f>+K53*K52</f>
        <v>0</v>
      </c>
      <c r="M54" s="9">
        <f>+M53*M52</f>
        <v>0</v>
      </c>
    </row>
    <row r="55" spans="2:13" collapsed="1" x14ac:dyDescent="0.25"/>
    <row r="56" spans="2:13" x14ac:dyDescent="0.25">
      <c r="B56" t="s">
        <v>23</v>
      </c>
      <c r="E56" s="38"/>
      <c r="G56" s="38"/>
      <c r="I56" s="38"/>
      <c r="K56" s="38"/>
      <c r="M56" s="38"/>
    </row>
    <row r="57" spans="2:13" x14ac:dyDescent="0.25">
      <c r="B57" t="s">
        <v>13</v>
      </c>
      <c r="E57" s="27"/>
      <c r="G57" s="27"/>
      <c r="I57" s="27"/>
      <c r="K57" s="27"/>
      <c r="M57" s="27"/>
    </row>
    <row r="58" spans="2:13" hidden="1" outlineLevel="1" x14ac:dyDescent="0.25">
      <c r="B58" t="s">
        <v>16</v>
      </c>
      <c r="E58" s="39">
        <f>+IF(E$11&gt;E57,E56,0)</f>
        <v>0</v>
      </c>
      <c r="G58" s="39">
        <f>+IF(G$11&gt;G57,G56,0)</f>
        <v>0</v>
      </c>
      <c r="I58" s="39">
        <f>+IF(I$11&gt;I57,I56,0)</f>
        <v>0</v>
      </c>
      <c r="K58" s="39">
        <f>+IF(K$11&gt;K57,K56,0)</f>
        <v>0</v>
      </c>
      <c r="M58" s="39">
        <f>+IF(M$11&gt;M57,M56,0)</f>
        <v>0</v>
      </c>
    </row>
    <row r="59" spans="2:13" hidden="1" outlineLevel="1" x14ac:dyDescent="0.25">
      <c r="B59" t="s">
        <v>17</v>
      </c>
      <c r="E59" s="9">
        <f>+E58*E57</f>
        <v>0</v>
      </c>
      <c r="G59" s="9">
        <f>+G58*G57</f>
        <v>0</v>
      </c>
      <c r="I59" s="9">
        <f>+I58*I57</f>
        <v>0</v>
      </c>
      <c r="K59" s="9">
        <f>+K58*K57</f>
        <v>0</v>
      </c>
      <c r="M59" s="9">
        <f>+M58*M57</f>
        <v>0</v>
      </c>
    </row>
    <row r="60" spans="2:13" collapsed="1" x14ac:dyDescent="0.25"/>
    <row r="61" spans="2:13" x14ac:dyDescent="0.25">
      <c r="B61" t="s">
        <v>24</v>
      </c>
      <c r="E61" s="38"/>
      <c r="G61" s="38"/>
      <c r="I61" s="38"/>
      <c r="K61" s="38"/>
      <c r="M61" s="38"/>
    </row>
    <row r="62" spans="2:13" x14ac:dyDescent="0.25">
      <c r="B62" t="s">
        <v>13</v>
      </c>
      <c r="E62" s="27"/>
      <c r="G62" s="27"/>
      <c r="I62" s="27"/>
      <c r="K62" s="27"/>
      <c r="M62" s="27"/>
    </row>
    <row r="63" spans="2:13" hidden="1" outlineLevel="1" x14ac:dyDescent="0.25">
      <c r="B63" t="s">
        <v>16</v>
      </c>
      <c r="E63" s="39">
        <f>+IF(E$11&gt;E62,E61,0)</f>
        <v>0</v>
      </c>
      <c r="G63" s="39">
        <f>+IF(G$11&gt;G62,G61,0)</f>
        <v>0</v>
      </c>
      <c r="I63" s="39">
        <f>+IF(I$11&gt;I62,I61,0)</f>
        <v>0</v>
      </c>
      <c r="K63" s="39">
        <f>+IF(K$11&gt;K62,K61,0)</f>
        <v>0</v>
      </c>
      <c r="M63" s="39">
        <f>+IF(M$11&gt;M62,M61,0)</f>
        <v>0</v>
      </c>
    </row>
    <row r="64" spans="2:13" hidden="1" outlineLevel="1" x14ac:dyDescent="0.25">
      <c r="B64" t="s">
        <v>17</v>
      </c>
      <c r="E64" s="9">
        <f>+E63*E62</f>
        <v>0</v>
      </c>
      <c r="G64" s="9">
        <f>+G63*G62</f>
        <v>0</v>
      </c>
      <c r="I64" s="9">
        <f>+I63*I62</f>
        <v>0</v>
      </c>
      <c r="K64" s="9">
        <f>+K63*K62</f>
        <v>0</v>
      </c>
      <c r="M64" s="9">
        <f>+M63*M62</f>
        <v>0</v>
      </c>
    </row>
    <row r="65" spans="2:13" collapsed="1" x14ac:dyDescent="0.25"/>
    <row r="66" spans="2:13" x14ac:dyDescent="0.25">
      <c r="B66" t="s">
        <v>25</v>
      </c>
      <c r="E66" s="38"/>
      <c r="G66" s="38"/>
      <c r="I66" s="38"/>
      <c r="K66" s="38"/>
      <c r="M66" s="38"/>
    </row>
    <row r="67" spans="2:13" x14ac:dyDescent="0.25">
      <c r="B67" t="s">
        <v>13</v>
      </c>
      <c r="E67" s="27"/>
      <c r="G67" s="27"/>
      <c r="I67" s="27"/>
      <c r="K67" s="27"/>
      <c r="M67" s="27"/>
    </row>
    <row r="68" spans="2:13" hidden="1" outlineLevel="1" x14ac:dyDescent="0.25">
      <c r="B68" t="s">
        <v>16</v>
      </c>
      <c r="E68" s="39">
        <f>+IF(E$11&gt;E67,E66,0)</f>
        <v>0</v>
      </c>
      <c r="G68" s="39">
        <f>+IF(G$11&gt;G67,G66,0)</f>
        <v>0</v>
      </c>
      <c r="I68" s="39">
        <f>+IF(I$11&gt;I67,I66,0)</f>
        <v>0</v>
      </c>
      <c r="K68" s="39">
        <f>+IF(K$11&gt;K67,K66,0)</f>
        <v>0</v>
      </c>
      <c r="M68" s="39">
        <f>+IF(M$11&gt;M67,M66,0)</f>
        <v>0</v>
      </c>
    </row>
    <row r="69" spans="2:13" hidden="1" outlineLevel="1" x14ac:dyDescent="0.25">
      <c r="B69" t="s">
        <v>17</v>
      </c>
      <c r="E69" s="9">
        <f>+E68*E67</f>
        <v>0</v>
      </c>
      <c r="G69" s="9">
        <f>+G68*G67</f>
        <v>0</v>
      </c>
      <c r="I69" s="9">
        <f>+I68*I67</f>
        <v>0</v>
      </c>
      <c r="K69" s="9">
        <f>+K68*K67</f>
        <v>0</v>
      </c>
      <c r="M69" s="9">
        <f>+M68*M67</f>
        <v>0</v>
      </c>
    </row>
    <row r="70" spans="2:13" collapsed="1" x14ac:dyDescent="0.25"/>
    <row r="71" spans="2:13" x14ac:dyDescent="0.25">
      <c r="B71" t="s">
        <v>26</v>
      </c>
      <c r="E71" s="38"/>
      <c r="G71" s="38"/>
      <c r="I71" s="38"/>
      <c r="K71" s="38"/>
      <c r="M71" s="38"/>
    </row>
    <row r="72" spans="2:13" x14ac:dyDescent="0.25">
      <c r="B72" t="s">
        <v>13</v>
      </c>
      <c r="E72" s="27"/>
      <c r="G72" s="27"/>
      <c r="I72" s="27"/>
      <c r="K72" s="27"/>
      <c r="M72" s="27"/>
    </row>
    <row r="73" spans="2:13" hidden="1" outlineLevel="1" x14ac:dyDescent="0.25">
      <c r="B73" t="s">
        <v>16</v>
      </c>
      <c r="E73" s="39">
        <f>+IF(E$11&gt;E72,E71,0)</f>
        <v>0</v>
      </c>
      <c r="G73" s="39">
        <f>+IF(G$11&gt;G72,G71,0)</f>
        <v>0</v>
      </c>
      <c r="I73" s="39">
        <f>+IF(I$11&gt;I72,I71,0)</f>
        <v>0</v>
      </c>
      <c r="K73" s="39">
        <f>+IF(K$11&gt;K72,K71,0)</f>
        <v>0</v>
      </c>
      <c r="M73" s="39">
        <f>+IF(M$11&gt;M72,M71,0)</f>
        <v>0</v>
      </c>
    </row>
    <row r="74" spans="2:13" hidden="1" outlineLevel="1" x14ac:dyDescent="0.25">
      <c r="B74" t="s">
        <v>17</v>
      </c>
      <c r="E74" s="9">
        <f>+E73*E72</f>
        <v>0</v>
      </c>
      <c r="G74" s="9">
        <f>+G73*G72</f>
        <v>0</v>
      </c>
      <c r="I74" s="9">
        <f>+I73*I72</f>
        <v>0</v>
      </c>
      <c r="K74" s="9">
        <f>+K73*K72</f>
        <v>0</v>
      </c>
      <c r="M74" s="9">
        <f>+M73*M72</f>
        <v>0</v>
      </c>
    </row>
    <row r="75" spans="2:13" collapsed="1" x14ac:dyDescent="0.25"/>
    <row r="76" spans="2:13" ht="13" x14ac:dyDescent="0.3">
      <c r="B76" s="5" t="s">
        <v>27</v>
      </c>
      <c r="C76" s="5"/>
      <c r="D76" s="5"/>
      <c r="E76" s="40">
        <f>+SUM(E28,E33,E38,E43,E48,E53,E58,E63,E68,E73)</f>
        <v>0</v>
      </c>
      <c r="G76" s="40">
        <f>+SUM(G28,G33,G38,G43,G48,G53,G58,G63,G68,G73)</f>
        <v>0</v>
      </c>
      <c r="I76" s="40">
        <f>+SUM(I28,I33,I38,I43,I48,I53,I58,I63,I68,I73)</f>
        <v>0</v>
      </c>
      <c r="K76" s="40">
        <f>+SUM(K28,K33,K38,K43,K48,K53,K58,K63,K68,K73)</f>
        <v>0</v>
      </c>
      <c r="M76" s="40">
        <f>+SUM(M28,M33,M38,M43,M48,M53,M58,M63,M68,M73)</f>
        <v>0</v>
      </c>
    </row>
    <row r="77" spans="2:13" ht="13" x14ac:dyDescent="0.3">
      <c r="B77" s="5" t="s">
        <v>28</v>
      </c>
      <c r="E77" s="10">
        <f>+SUM(E29,E34,E39,E44,E49,E54,E59,E64,E69,E74)</f>
        <v>0</v>
      </c>
      <c r="G77" s="10">
        <f>+SUM(G29,G34,G39,G44,G49,G54,G59,G64,G69,G74)</f>
        <v>0</v>
      </c>
      <c r="I77" s="10">
        <f>+SUM(I29,I34,I39,I44,I49,I54,I59,I64,I69,I74)</f>
        <v>0</v>
      </c>
      <c r="K77" s="10">
        <f>+SUM(K29,K34,K39,K44,K49,K54,K59,K64,K69,K74)</f>
        <v>0</v>
      </c>
      <c r="M77" s="10">
        <f>+SUM(M29,M34,M39,M44,M49,M54,M59,M64,M69,M74)</f>
        <v>0</v>
      </c>
    </row>
    <row r="78" spans="2:13" ht="13" x14ac:dyDescent="0.3">
      <c r="B78" s="5" t="s">
        <v>29</v>
      </c>
      <c r="C78" s="5"/>
      <c r="D78" s="5"/>
      <c r="E78" s="40">
        <f>IFERROR(E77/E$11,0)</f>
        <v>0</v>
      </c>
      <c r="G78" s="40">
        <f>IFERROR(G77/G$11,0)</f>
        <v>0</v>
      </c>
      <c r="I78" s="40">
        <f>IFERROR(I77/I$11,0)</f>
        <v>0</v>
      </c>
      <c r="K78" s="40">
        <f>IFERROR(K77/K$11,0)</f>
        <v>0</v>
      </c>
      <c r="M78" s="40">
        <f>IFERROR(M77/M$11,0)</f>
        <v>0</v>
      </c>
    </row>
    <row r="79" spans="2:13" ht="13" x14ac:dyDescent="0.3">
      <c r="B79" s="5" t="s">
        <v>30</v>
      </c>
      <c r="C79" s="5"/>
      <c r="D79" s="5"/>
      <c r="E79" s="42">
        <f>+E76-E78</f>
        <v>0</v>
      </c>
      <c r="G79" s="42">
        <f>+G76-G78</f>
        <v>0</v>
      </c>
      <c r="I79" s="42">
        <f>+I76-I78</f>
        <v>0</v>
      </c>
      <c r="K79" s="42">
        <f>+K76-K78</f>
        <v>0</v>
      </c>
      <c r="M79" s="42">
        <f>+M76-M78</f>
        <v>0</v>
      </c>
    </row>
    <row r="81" spans="1:13" ht="13" x14ac:dyDescent="0.3">
      <c r="A81" s="5" t="s">
        <v>63</v>
      </c>
    </row>
    <row r="82" spans="1:13" x14ac:dyDescent="0.25">
      <c r="B82" t="s">
        <v>31</v>
      </c>
      <c r="E82" s="38"/>
      <c r="G82" s="38"/>
      <c r="I82" s="38"/>
      <c r="K82" s="38"/>
      <c r="M82" s="38"/>
    </row>
    <row r="83" spans="1:13" x14ac:dyDescent="0.25">
      <c r="B83" t="s">
        <v>13</v>
      </c>
      <c r="E83" s="27"/>
      <c r="G83" s="27"/>
      <c r="I83" s="27"/>
      <c r="K83" s="27"/>
      <c r="M83" s="27"/>
    </row>
    <row r="84" spans="1:13" x14ac:dyDescent="0.25">
      <c r="B84" t="s">
        <v>33</v>
      </c>
      <c r="E84" s="39">
        <f>+IF(E$11&gt;E83,E82,0)</f>
        <v>0</v>
      </c>
      <c r="G84" s="39">
        <f>+IF(G$11&gt;G83,G82,0)</f>
        <v>0</v>
      </c>
      <c r="I84" s="39">
        <f>+IF(I$11&gt;I83,I82,0)</f>
        <v>0</v>
      </c>
      <c r="K84" s="39">
        <f>+IF(K$11&gt;K83,K82,0)</f>
        <v>0</v>
      </c>
      <c r="M84" s="39">
        <f>+IF(M$11&gt;M83,M82,0)</f>
        <v>0</v>
      </c>
    </row>
    <row r="85" spans="1:13" x14ac:dyDescent="0.25">
      <c r="B85" t="s">
        <v>34</v>
      </c>
      <c r="E85" s="9">
        <f>+E84*E83</f>
        <v>0</v>
      </c>
      <c r="G85" s="9">
        <f>+G84*G83</f>
        <v>0</v>
      </c>
      <c r="I85" s="9">
        <f>+I84*I83</f>
        <v>0</v>
      </c>
      <c r="K85" s="9">
        <f>+K84*K83</f>
        <v>0</v>
      </c>
      <c r="M85" s="9">
        <f>+M84*M83</f>
        <v>0</v>
      </c>
    </row>
    <row r="87" spans="1:13" x14ac:dyDescent="0.25">
      <c r="B87" t="s">
        <v>32</v>
      </c>
      <c r="E87" s="38"/>
      <c r="G87" s="38"/>
      <c r="I87" s="38"/>
      <c r="K87" s="38"/>
      <c r="M87" s="38"/>
    </row>
    <row r="88" spans="1:13" x14ac:dyDescent="0.25">
      <c r="B88" t="s">
        <v>13</v>
      </c>
      <c r="E88" s="27"/>
      <c r="G88" s="27"/>
      <c r="I88" s="27"/>
      <c r="K88" s="27"/>
      <c r="M88" s="27"/>
    </row>
    <row r="89" spans="1:13" x14ac:dyDescent="0.25">
      <c r="B89" t="s">
        <v>33</v>
      </c>
      <c r="E89" s="39">
        <f>+IF(E$11&gt;E88,E87,0)</f>
        <v>0</v>
      </c>
      <c r="G89" s="39">
        <f>+IF(G$11&gt;G88,G87,0)</f>
        <v>0</v>
      </c>
      <c r="I89" s="39">
        <f>+IF(I$11&gt;I88,I87,0)</f>
        <v>0</v>
      </c>
      <c r="K89" s="39">
        <f>+IF(K$11&gt;K88,K87,0)</f>
        <v>0</v>
      </c>
      <c r="M89" s="39">
        <f>+IF(M$11&gt;M88,M87,0)</f>
        <v>0</v>
      </c>
    </row>
    <row r="90" spans="1:13" x14ac:dyDescent="0.25">
      <c r="B90" t="s">
        <v>34</v>
      </c>
      <c r="E90" s="9">
        <f>+E89*E88</f>
        <v>0</v>
      </c>
      <c r="G90" s="9">
        <f>+G89*G88</f>
        <v>0</v>
      </c>
      <c r="I90" s="9">
        <f>+I89*I88</f>
        <v>0</v>
      </c>
      <c r="K90" s="9">
        <f>+K89*K88</f>
        <v>0</v>
      </c>
      <c r="M90" s="9">
        <f>+M89*M88</f>
        <v>0</v>
      </c>
    </row>
    <row r="92" spans="1:13" ht="13" x14ac:dyDescent="0.3">
      <c r="B92" s="5" t="s">
        <v>35</v>
      </c>
      <c r="C92" s="5"/>
      <c r="D92" s="5"/>
      <c r="E92" s="40">
        <f>+SUM(E84,E89)</f>
        <v>0</v>
      </c>
      <c r="G92" s="40">
        <f>+SUM(G84,G89)</f>
        <v>0</v>
      </c>
      <c r="I92" s="40">
        <f>+SUM(I84,I89)</f>
        <v>0</v>
      </c>
      <c r="K92" s="40">
        <f>+SUM(K84,K89)</f>
        <v>0</v>
      </c>
      <c r="M92" s="40">
        <f>+SUM(M84,M89)</f>
        <v>0</v>
      </c>
    </row>
    <row r="93" spans="1:13" ht="13" x14ac:dyDescent="0.3">
      <c r="B93" s="5" t="s">
        <v>36</v>
      </c>
      <c r="E93" s="10">
        <f>+SUM(E85,E90)</f>
        <v>0</v>
      </c>
      <c r="G93" s="10">
        <f>+SUM(G85,G90)</f>
        <v>0</v>
      </c>
      <c r="I93" s="10">
        <f>+SUM(I85,I90)</f>
        <v>0</v>
      </c>
      <c r="K93" s="10">
        <f>+SUM(K85,K90)</f>
        <v>0</v>
      </c>
      <c r="M93" s="10">
        <f>+SUM(M85,M90)</f>
        <v>0</v>
      </c>
    </row>
    <row r="94" spans="1:13" ht="13" x14ac:dyDescent="0.3">
      <c r="B94" s="5" t="s">
        <v>29</v>
      </c>
      <c r="C94" s="5"/>
      <c r="D94" s="5"/>
      <c r="E94" s="40">
        <f>IFERROR(E93/E$11,0)</f>
        <v>0</v>
      </c>
      <c r="G94" s="40">
        <f>IFERROR(G93/G$11,0)</f>
        <v>0</v>
      </c>
      <c r="I94" s="40">
        <f>IFERROR(I93/I$11,0)</f>
        <v>0</v>
      </c>
      <c r="K94" s="40">
        <f>IFERROR(K93/K$11,0)</f>
        <v>0</v>
      </c>
      <c r="M94" s="40">
        <f>IFERROR(M93/M$11,0)</f>
        <v>0</v>
      </c>
    </row>
    <row r="95" spans="1:13" ht="13" x14ac:dyDescent="0.3">
      <c r="B95" s="5" t="s">
        <v>37</v>
      </c>
      <c r="C95" s="5"/>
      <c r="D95" s="5"/>
      <c r="E95" s="42">
        <f>+E92-E94</f>
        <v>0</v>
      </c>
      <c r="G95" s="42">
        <f>+G92-G94</f>
        <v>0</v>
      </c>
      <c r="I95" s="42">
        <f>+I92-I94</f>
        <v>0</v>
      </c>
      <c r="K95" s="42">
        <f>+K92-K94</f>
        <v>0</v>
      </c>
      <c r="M95" s="42">
        <f>+M92-M94</f>
        <v>0</v>
      </c>
    </row>
    <row r="97" spans="1:14" ht="13" x14ac:dyDescent="0.3">
      <c r="A97" s="5" t="s">
        <v>64</v>
      </c>
    </row>
    <row r="98" spans="1:14" x14ac:dyDescent="0.25">
      <c r="B98" t="s">
        <v>38</v>
      </c>
      <c r="E98" s="7"/>
      <c r="G98" s="7"/>
      <c r="I98" s="7"/>
      <c r="K98" s="7"/>
      <c r="M98" s="7"/>
    </row>
    <row r="99" spans="1:14" x14ac:dyDescent="0.25">
      <c r="B99" t="s">
        <v>39</v>
      </c>
      <c r="E99" s="7"/>
      <c r="G99" s="7"/>
      <c r="I99" s="7"/>
      <c r="K99" s="7"/>
      <c r="M99" s="7"/>
    </row>
    <row r="101" spans="1:14" ht="13" x14ac:dyDescent="0.3">
      <c r="B101" s="5" t="s">
        <v>40</v>
      </c>
      <c r="C101" s="56"/>
      <c r="E101" s="42">
        <f>+E21+E79+E95+E98+E99</f>
        <v>0</v>
      </c>
      <c r="G101" s="42">
        <f>+G21+G79+G95+G98+G99</f>
        <v>0</v>
      </c>
      <c r="I101" s="42">
        <f>+I21+I79+I95+I98+I99</f>
        <v>0</v>
      </c>
      <c r="K101" s="42">
        <f>+K21+K79+K95+K98+K99</f>
        <v>0</v>
      </c>
      <c r="M101" s="42">
        <f>+M21+M79+M95+M98+M99</f>
        <v>0</v>
      </c>
    </row>
    <row r="103" spans="1:14" ht="13" x14ac:dyDescent="0.3">
      <c r="A103" s="15" t="s">
        <v>41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</row>
    <row r="104" spans="1:14" s="4" customFormat="1" ht="13" x14ac:dyDescent="0.3">
      <c r="B104" s="4" t="s">
        <v>8</v>
      </c>
      <c r="E104" s="43"/>
      <c r="G104" s="43"/>
      <c r="I104" s="43"/>
      <c r="K104" s="43"/>
      <c r="M104" s="43"/>
    </row>
    <row r="105" spans="1:14" s="4" customFormat="1" ht="13" x14ac:dyDescent="0.3">
      <c r="B105" s="4" t="s">
        <v>10</v>
      </c>
      <c r="E105" s="49">
        <f>+E13</f>
        <v>0</v>
      </c>
      <c r="G105" s="49">
        <f>+G13</f>
        <v>0</v>
      </c>
      <c r="I105" s="49">
        <f>+I13</f>
        <v>0</v>
      </c>
      <c r="K105" s="49">
        <f>+K13</f>
        <v>0</v>
      </c>
      <c r="M105" s="49">
        <f>+M13</f>
        <v>0</v>
      </c>
    </row>
    <row r="107" spans="1:14" x14ac:dyDescent="0.25">
      <c r="B107" s="11" t="s">
        <v>57</v>
      </c>
      <c r="E107" s="35"/>
      <c r="G107" s="35"/>
      <c r="I107" s="35"/>
      <c r="K107" s="35"/>
      <c r="M107" s="35"/>
    </row>
    <row r="108" spans="1:14" x14ac:dyDescent="0.25">
      <c r="B108" s="11" t="s">
        <v>42</v>
      </c>
      <c r="E108" s="35"/>
      <c r="G108" s="35"/>
      <c r="I108" s="35"/>
      <c r="K108" s="35"/>
      <c r="M108" s="35"/>
    </row>
    <row r="109" spans="1:14" x14ac:dyDescent="0.25">
      <c r="B109" s="11" t="s">
        <v>43</v>
      </c>
      <c r="E109" s="35"/>
      <c r="G109" s="35"/>
      <c r="I109" s="35"/>
      <c r="K109" s="35"/>
      <c r="M109" s="35"/>
    </row>
    <row r="110" spans="1:14" s="5" customFormat="1" ht="13" x14ac:dyDescent="0.3">
      <c r="B110" s="5" t="s">
        <v>44</v>
      </c>
      <c r="E110" s="41">
        <f>+SUM(E107:E109)</f>
        <v>0</v>
      </c>
      <c r="G110" s="41">
        <f>+SUM(G107:G109)</f>
        <v>0</v>
      </c>
      <c r="I110" s="41">
        <f>+SUM(I107:I109)</f>
        <v>0</v>
      </c>
      <c r="K110" s="41">
        <f>+SUM(K107:K109)</f>
        <v>0</v>
      </c>
      <c r="M110" s="41">
        <f>+SUM(M107:M109)</f>
        <v>0</v>
      </c>
    </row>
    <row r="111" spans="1:14" x14ac:dyDescent="0.25">
      <c r="B111" s="11" t="s">
        <v>45</v>
      </c>
      <c r="E111" s="35"/>
      <c r="G111" s="35"/>
      <c r="I111" s="35"/>
      <c r="K111" s="35"/>
      <c r="M111" s="35"/>
    </row>
    <row r="112" spans="1:14" x14ac:dyDescent="0.25">
      <c r="B112" s="11" t="s">
        <v>46</v>
      </c>
      <c r="E112" s="35"/>
      <c r="G112" s="35"/>
      <c r="I112" s="35"/>
      <c r="K112" s="35"/>
      <c r="M112" s="35"/>
    </row>
    <row r="113" spans="2:13" x14ac:dyDescent="0.25">
      <c r="B113" s="11" t="s">
        <v>47</v>
      </c>
      <c r="E113" s="35"/>
      <c r="G113" s="35"/>
      <c r="I113" s="35"/>
      <c r="K113" s="35"/>
      <c r="M113" s="35"/>
    </row>
    <row r="114" spans="2:13" x14ac:dyDescent="0.25">
      <c r="B114" s="11" t="s">
        <v>120</v>
      </c>
      <c r="E114" s="35"/>
      <c r="G114" s="35"/>
      <c r="I114" s="35"/>
      <c r="K114" s="35"/>
      <c r="M114" s="35"/>
    </row>
    <row r="115" spans="2:13" ht="13.25" customHeight="1" x14ac:dyDescent="0.25">
      <c r="B115" s="11" t="s">
        <v>122</v>
      </c>
      <c r="E115" s="35"/>
      <c r="G115" s="35"/>
      <c r="I115" s="35"/>
      <c r="K115" s="35"/>
      <c r="M115" s="35"/>
    </row>
    <row r="116" spans="2:13" ht="13.25" customHeight="1" x14ac:dyDescent="0.25">
      <c r="B116" s="11" t="s">
        <v>121</v>
      </c>
      <c r="E116" s="35"/>
      <c r="G116" s="35"/>
      <c r="I116" s="35"/>
      <c r="K116" s="35"/>
      <c r="M116" s="35"/>
    </row>
    <row r="117" spans="2:13" x14ac:dyDescent="0.25">
      <c r="E117" s="34"/>
      <c r="G117" s="34"/>
      <c r="I117" s="34"/>
      <c r="K117" s="34"/>
      <c r="M117" s="34"/>
    </row>
    <row r="118" spans="2:13" x14ac:dyDescent="0.25">
      <c r="B118" s="11" t="s">
        <v>48</v>
      </c>
      <c r="E118" s="35"/>
      <c r="G118" s="35"/>
      <c r="I118" s="35"/>
      <c r="K118" s="35"/>
      <c r="M118" s="35"/>
    </row>
    <row r="119" spans="2:13" x14ac:dyDescent="0.25">
      <c r="B119" s="11" t="s">
        <v>49</v>
      </c>
      <c r="E119" s="35"/>
      <c r="G119" s="35"/>
      <c r="I119" s="35"/>
      <c r="K119" s="35"/>
      <c r="M119" s="35"/>
    </row>
    <row r="120" spans="2:13" x14ac:dyDescent="0.25">
      <c r="B120" s="11" t="s">
        <v>50</v>
      </c>
      <c r="E120" s="35"/>
      <c r="G120" s="35"/>
      <c r="I120" s="35"/>
      <c r="K120" s="35"/>
      <c r="M120" s="35"/>
    </row>
    <row r="121" spans="2:13" x14ac:dyDescent="0.25">
      <c r="B121" s="11" t="s">
        <v>51</v>
      </c>
      <c r="E121" s="35"/>
      <c r="G121" s="35"/>
      <c r="I121" s="35"/>
      <c r="K121" s="35"/>
      <c r="M121" s="35"/>
    </row>
    <row r="122" spans="2:13" s="5" customFormat="1" ht="13" x14ac:dyDescent="0.3">
      <c r="B122" s="5" t="s">
        <v>52</v>
      </c>
      <c r="E122" s="41">
        <f>+SUM(E118:E121)</f>
        <v>0</v>
      </c>
      <c r="G122" s="41">
        <f>+SUM(G118:G121)</f>
        <v>0</v>
      </c>
      <c r="I122" s="41">
        <f>+SUM(I118:I121)</f>
        <v>0</v>
      </c>
      <c r="K122" s="41">
        <f>+SUM(K118:K121)</f>
        <v>0</v>
      </c>
      <c r="M122" s="41">
        <f>+SUM(M118:M121)</f>
        <v>0</v>
      </c>
    </row>
    <row r="123" spans="2:13" x14ac:dyDescent="0.25">
      <c r="B123" s="11" t="s">
        <v>59</v>
      </c>
      <c r="E123" s="35"/>
      <c r="G123" s="35"/>
      <c r="I123" s="35"/>
      <c r="K123" s="35"/>
      <c r="M123" s="35"/>
    </row>
    <row r="124" spans="2:13" x14ac:dyDescent="0.25">
      <c r="B124" s="11" t="s">
        <v>53</v>
      </c>
      <c r="E124" s="35"/>
      <c r="G124" s="35"/>
      <c r="I124" s="35"/>
      <c r="K124" s="35"/>
      <c r="M124" s="35"/>
    </row>
    <row r="125" spans="2:13" x14ac:dyDescent="0.25">
      <c r="B125" s="11" t="s">
        <v>58</v>
      </c>
      <c r="E125" s="35"/>
      <c r="G125" s="35"/>
      <c r="I125" s="35"/>
      <c r="K125" s="35"/>
      <c r="M125" s="35"/>
    </row>
    <row r="126" spans="2:13" s="5" customFormat="1" ht="13" x14ac:dyDescent="0.3">
      <c r="B126" s="5" t="s">
        <v>54</v>
      </c>
      <c r="E126" s="41">
        <f>+SUM(E123:E125)</f>
        <v>0</v>
      </c>
      <c r="G126" s="41">
        <f>+SUM(G123:G125)</f>
        <v>0</v>
      </c>
      <c r="I126" s="41">
        <f>+SUM(I123:I125)</f>
        <v>0</v>
      </c>
      <c r="K126" s="41">
        <f>+SUM(K123:K125)</f>
        <v>0</v>
      </c>
      <c r="M126" s="41">
        <f>+SUM(M123:M125)</f>
        <v>0</v>
      </c>
    </row>
    <row r="127" spans="2:13" x14ac:dyDescent="0.25">
      <c r="E127" s="34"/>
      <c r="G127" s="34"/>
      <c r="I127" s="34"/>
      <c r="K127" s="34"/>
      <c r="M127" s="34"/>
    </row>
    <row r="128" spans="2:13" x14ac:dyDescent="0.25">
      <c r="B128" s="11" t="s">
        <v>55</v>
      </c>
      <c r="E128" s="35"/>
      <c r="G128" s="35"/>
      <c r="I128" s="35"/>
      <c r="K128" s="35"/>
      <c r="M128" s="35"/>
    </row>
    <row r="129" spans="1:14" x14ac:dyDescent="0.25">
      <c r="B129" s="11" t="s">
        <v>56</v>
      </c>
      <c r="E129" s="35"/>
      <c r="G129" s="35"/>
      <c r="I129" s="35"/>
      <c r="K129" s="35"/>
      <c r="M129" s="35"/>
    </row>
    <row r="130" spans="1:14" s="5" customFormat="1" ht="13" x14ac:dyDescent="0.3">
      <c r="B130" s="5" t="s">
        <v>60</v>
      </c>
      <c r="E130" s="44"/>
      <c r="G130" s="44"/>
      <c r="I130" s="44"/>
      <c r="K130" s="44"/>
      <c r="M130" s="44"/>
    </row>
    <row r="132" spans="1:14" ht="13" x14ac:dyDescent="0.3">
      <c r="A132" s="15" t="s">
        <v>119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</row>
    <row r="134" spans="1:14" ht="13.25" customHeight="1" x14ac:dyDescent="0.25">
      <c r="B134" s="11" t="s">
        <v>108</v>
      </c>
      <c r="C134" s="56" t="s">
        <v>133</v>
      </c>
      <c r="E134" s="52">
        <f>+E11</f>
        <v>0</v>
      </c>
      <c r="G134" s="52">
        <f>+G11</f>
        <v>0</v>
      </c>
      <c r="I134" s="52">
        <f>+I11</f>
        <v>0</v>
      </c>
      <c r="K134" s="52">
        <f>+K11</f>
        <v>0</v>
      </c>
      <c r="M134" s="52">
        <f>+M11</f>
        <v>0</v>
      </c>
    </row>
    <row r="135" spans="1:14" ht="13.25" customHeight="1" x14ac:dyDescent="0.25">
      <c r="B135" s="11" t="s">
        <v>40</v>
      </c>
      <c r="C135" s="56" t="s">
        <v>134</v>
      </c>
      <c r="E135" s="53">
        <f>+E101</f>
        <v>0</v>
      </c>
      <c r="G135" s="53">
        <f>+G101</f>
        <v>0</v>
      </c>
      <c r="I135" s="53">
        <f>+I101</f>
        <v>0</v>
      </c>
      <c r="K135" s="53">
        <f>+K101</f>
        <v>0</v>
      </c>
      <c r="M135" s="53">
        <f>+M101</f>
        <v>0</v>
      </c>
    </row>
    <row r="136" spans="1:14" s="5" customFormat="1" ht="13" x14ac:dyDescent="0.3">
      <c r="B136" s="5" t="s">
        <v>109</v>
      </c>
      <c r="C136" s="56" t="s">
        <v>135</v>
      </c>
      <c r="E136" s="24">
        <f>+E134*E135</f>
        <v>0</v>
      </c>
      <c r="G136" s="24">
        <f>+G134*G135</f>
        <v>0</v>
      </c>
      <c r="I136" s="24">
        <f>+I134*I135</f>
        <v>0</v>
      </c>
      <c r="K136" s="24">
        <f>+K134*K135</f>
        <v>0</v>
      </c>
      <c r="M136" s="24">
        <f>+M134*M135</f>
        <v>0</v>
      </c>
    </row>
    <row r="138" spans="1:14" x14ac:dyDescent="0.25">
      <c r="B138" s="11" t="s">
        <v>110</v>
      </c>
      <c r="C138" s="56" t="s">
        <v>136</v>
      </c>
      <c r="E138" s="8">
        <f>+E122+E126</f>
        <v>0</v>
      </c>
      <c r="G138" s="8">
        <f>+G122+G126</f>
        <v>0</v>
      </c>
      <c r="I138" s="8">
        <f>+I122+I126</f>
        <v>0</v>
      </c>
      <c r="K138" s="8">
        <f>+K122+K126</f>
        <v>0</v>
      </c>
      <c r="M138" s="8">
        <f>+M122+M126</f>
        <v>0</v>
      </c>
    </row>
    <row r="139" spans="1:14" ht="13.25" customHeight="1" x14ac:dyDescent="0.25">
      <c r="B139" s="11" t="s">
        <v>111</v>
      </c>
      <c r="C139" s="56" t="s">
        <v>137</v>
      </c>
      <c r="E139" s="8">
        <f>+E128</f>
        <v>0</v>
      </c>
      <c r="G139" s="8">
        <f>+G128</f>
        <v>0</v>
      </c>
      <c r="I139" s="8">
        <f>+I128</f>
        <v>0</v>
      </c>
      <c r="K139" s="8">
        <f>+K128</f>
        <v>0</v>
      </c>
      <c r="M139" s="8">
        <f>+M128</f>
        <v>0</v>
      </c>
    </row>
    <row r="140" spans="1:14" x14ac:dyDescent="0.25">
      <c r="B140" s="11" t="s">
        <v>56</v>
      </c>
      <c r="C140" s="56" t="s">
        <v>138</v>
      </c>
      <c r="E140" s="8">
        <f>+E129</f>
        <v>0</v>
      </c>
      <c r="G140" s="8">
        <f>+G129</f>
        <v>0</v>
      </c>
      <c r="I140" s="8">
        <f>+I129</f>
        <v>0</v>
      </c>
      <c r="K140" s="8">
        <f>+K129</f>
        <v>0</v>
      </c>
      <c r="M140" s="8">
        <f>+M129</f>
        <v>0</v>
      </c>
    </row>
    <row r="141" spans="1:14" x14ac:dyDescent="0.25">
      <c r="B141" s="11" t="s">
        <v>44</v>
      </c>
      <c r="C141" s="56" t="s">
        <v>139</v>
      </c>
      <c r="E141" s="8">
        <f>+E110*-1</f>
        <v>0</v>
      </c>
      <c r="G141" s="8">
        <f>+G110*-1</f>
        <v>0</v>
      </c>
      <c r="I141" s="8">
        <f>+I110*-1</f>
        <v>0</v>
      </c>
      <c r="K141" s="8">
        <f>+K110*-1</f>
        <v>0</v>
      </c>
      <c r="M141" s="8">
        <f>+M110*-1</f>
        <v>0</v>
      </c>
    </row>
    <row r="142" spans="1:14" s="5" customFormat="1" ht="13" x14ac:dyDescent="0.3">
      <c r="B142" s="5" t="s">
        <v>112</v>
      </c>
      <c r="C142" s="56" t="s">
        <v>156</v>
      </c>
      <c r="E142" s="13">
        <f>SUM(E138:E141)</f>
        <v>0</v>
      </c>
      <c r="G142" s="13">
        <f>SUM(G138:G141)</f>
        <v>0</v>
      </c>
      <c r="I142" s="13">
        <f>SUM(I138:I141)</f>
        <v>0</v>
      </c>
      <c r="K142" s="13">
        <f>SUM(K138:K141)</f>
        <v>0</v>
      </c>
      <c r="M142" s="13">
        <f>SUM(M138:M141)</f>
        <v>0</v>
      </c>
    </row>
    <row r="144" spans="1:14" s="5" customFormat="1" ht="13" x14ac:dyDescent="0.3">
      <c r="B144" s="5" t="s">
        <v>113</v>
      </c>
      <c r="C144" s="56" t="s">
        <v>157</v>
      </c>
      <c r="E144" s="10">
        <f>+E136+E142</f>
        <v>0</v>
      </c>
      <c r="G144" s="10">
        <f>+G136+G142</f>
        <v>0</v>
      </c>
      <c r="I144" s="10">
        <f>+I136+I142</f>
        <v>0</v>
      </c>
      <c r="K144" s="10">
        <f>+K136+K142</f>
        <v>0</v>
      </c>
      <c r="M144" s="10">
        <f>+M136+M142</f>
        <v>0</v>
      </c>
    </row>
    <row r="146" spans="1:14" ht="13" x14ac:dyDescent="0.3">
      <c r="A146" s="15" t="s">
        <v>61</v>
      </c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</row>
    <row r="148" spans="1:14" s="5" customFormat="1" ht="13.25" customHeight="1" x14ac:dyDescent="0.3">
      <c r="A148" s="14" t="s">
        <v>65</v>
      </c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</row>
    <row r="149" spans="1:14" s="4" customFormat="1" ht="13" x14ac:dyDescent="0.3">
      <c r="B149" s="4" t="s">
        <v>8</v>
      </c>
      <c r="E149" s="43"/>
      <c r="G149" s="43"/>
      <c r="I149" s="43"/>
      <c r="K149" s="43"/>
      <c r="M149" s="43"/>
    </row>
    <row r="150" spans="1:14" s="4" customFormat="1" ht="13" x14ac:dyDescent="0.3">
      <c r="B150" s="4" t="s">
        <v>10</v>
      </c>
      <c r="E150" s="49">
        <f>+E12</f>
        <v>0</v>
      </c>
      <c r="G150" s="49">
        <f>+G12</f>
        <v>0</v>
      </c>
      <c r="I150" s="49">
        <f>+I12</f>
        <v>0</v>
      </c>
      <c r="K150" s="49">
        <f>+K12</f>
        <v>0</v>
      </c>
      <c r="M150" s="49">
        <f>+M12</f>
        <v>0</v>
      </c>
    </row>
    <row r="152" spans="1:14" ht="13.25" customHeight="1" x14ac:dyDescent="0.25">
      <c r="B152" t="s">
        <v>66</v>
      </c>
      <c r="E152" s="35"/>
      <c r="G152" s="35"/>
      <c r="I152" s="35"/>
      <c r="K152" s="35"/>
      <c r="M152" s="35"/>
    </row>
    <row r="153" spans="1:14" x14ac:dyDescent="0.25">
      <c r="B153" t="s">
        <v>80</v>
      </c>
      <c r="E153" s="35"/>
      <c r="G153" s="35"/>
      <c r="I153" s="35"/>
      <c r="K153" s="35"/>
      <c r="M153" s="35"/>
    </row>
    <row r="154" spans="1:14" x14ac:dyDescent="0.25">
      <c r="B154" t="s">
        <v>67</v>
      </c>
      <c r="E154" s="45">
        <f>+E152+E153</f>
        <v>0</v>
      </c>
      <c r="G154" s="45">
        <f>+G152+G153</f>
        <v>0</v>
      </c>
      <c r="I154" s="45">
        <f>+I152+I153</f>
        <v>0</v>
      </c>
      <c r="K154" s="45">
        <f>+K152+K153</f>
        <v>0</v>
      </c>
      <c r="M154" s="45">
        <f>+M152+M153</f>
        <v>0</v>
      </c>
    </row>
    <row r="155" spans="1:14" x14ac:dyDescent="0.25">
      <c r="B155" t="s">
        <v>81</v>
      </c>
      <c r="E155" s="35"/>
      <c r="G155" s="35"/>
      <c r="I155" s="35"/>
      <c r="K155" s="35"/>
      <c r="M155" s="35"/>
    </row>
    <row r="156" spans="1:14" s="5" customFormat="1" ht="13" x14ac:dyDescent="0.3">
      <c r="B156" s="5" t="s">
        <v>68</v>
      </c>
      <c r="E156" s="46">
        <f>+E154+E155</f>
        <v>0</v>
      </c>
      <c r="G156" s="46">
        <f>+G154+G155</f>
        <v>0</v>
      </c>
      <c r="I156" s="46">
        <f>+I154+I155</f>
        <v>0</v>
      </c>
      <c r="K156" s="46">
        <f>+K154+K155</f>
        <v>0</v>
      </c>
      <c r="M156" s="46">
        <f>+M154+M155</f>
        <v>0</v>
      </c>
    </row>
    <row r="157" spans="1:14" x14ac:dyDescent="0.25">
      <c r="B157" t="s">
        <v>82</v>
      </c>
      <c r="E157" s="47"/>
      <c r="G157" s="47"/>
      <c r="I157" s="47"/>
      <c r="K157" s="47"/>
      <c r="M157" s="47"/>
    </row>
    <row r="158" spans="1:14" x14ac:dyDescent="0.25">
      <c r="B158" t="s">
        <v>69</v>
      </c>
      <c r="E158" s="48">
        <f>+E156+E157</f>
        <v>0</v>
      </c>
      <c r="G158" s="48">
        <f>+G156+G157</f>
        <v>0</v>
      </c>
      <c r="I158" s="48">
        <f>+I156+I157</f>
        <v>0</v>
      </c>
      <c r="K158" s="48">
        <f>+K156+K157</f>
        <v>0</v>
      </c>
      <c r="M158" s="48">
        <f>+M156+M157</f>
        <v>0</v>
      </c>
    </row>
    <row r="159" spans="1:14" x14ac:dyDescent="0.25">
      <c r="B159" t="s">
        <v>70</v>
      </c>
      <c r="E159" s="35"/>
      <c r="G159" s="35"/>
      <c r="I159" s="35"/>
      <c r="K159" s="35"/>
      <c r="M159" s="35"/>
    </row>
    <row r="160" spans="1:14" s="5" customFormat="1" ht="13" x14ac:dyDescent="0.3">
      <c r="B160" s="5" t="s">
        <v>71</v>
      </c>
      <c r="E160" s="46">
        <f>+E158+E159</f>
        <v>0</v>
      </c>
      <c r="G160" s="46">
        <f>+G158+G159</f>
        <v>0</v>
      </c>
      <c r="I160" s="46">
        <f>+I158+I159</f>
        <v>0</v>
      </c>
      <c r="K160" s="46">
        <f>+K158+K159</f>
        <v>0</v>
      </c>
      <c r="M160" s="46">
        <f>+M158+M159</f>
        <v>0</v>
      </c>
    </row>
    <row r="161" spans="1:15" x14ac:dyDescent="0.25">
      <c r="B161" t="s">
        <v>72</v>
      </c>
      <c r="E161" s="38"/>
      <c r="G161" s="38"/>
      <c r="I161" s="38"/>
      <c r="K161" s="38"/>
      <c r="M161" s="38"/>
    </row>
    <row r="162" spans="1:15" x14ac:dyDescent="0.25">
      <c r="B162" t="s">
        <v>73</v>
      </c>
      <c r="E162" s="35"/>
      <c r="G162" s="35"/>
      <c r="I162" s="35"/>
      <c r="K162" s="35"/>
      <c r="M162" s="35"/>
    </row>
    <row r="164" spans="1:15" s="4" customFormat="1" ht="13" x14ac:dyDescent="0.3">
      <c r="B164" s="4" t="s">
        <v>83</v>
      </c>
      <c r="E164" s="19">
        <f>-(IFERROR(E159/E158,0))</f>
        <v>0</v>
      </c>
      <c r="G164" s="19">
        <f>-(IFERROR(G159/G158,0))</f>
        <v>0</v>
      </c>
      <c r="I164" s="19">
        <f>-(IFERROR(I159/I158,0))</f>
        <v>0</v>
      </c>
      <c r="K164" s="19">
        <f>-(IFERROR(K159/K158,0))</f>
        <v>0</v>
      </c>
      <c r="M164" s="19">
        <f>-(IFERROR(M159/M158,0))</f>
        <v>0</v>
      </c>
    </row>
    <row r="165" spans="1:15" s="4" customFormat="1" ht="13" x14ac:dyDescent="0.3">
      <c r="E165" s="19"/>
      <c r="G165" s="19"/>
      <c r="I165" s="19"/>
      <c r="K165" s="19"/>
      <c r="M165" s="19"/>
    </row>
    <row r="166" spans="1:15" x14ac:dyDescent="0.25">
      <c r="B166" t="s">
        <v>74</v>
      </c>
      <c r="E166" s="35"/>
      <c r="G166" s="35"/>
      <c r="I166" s="35"/>
      <c r="K166" s="35"/>
      <c r="M166" s="35"/>
    </row>
    <row r="167" spans="1:15" x14ac:dyDescent="0.25">
      <c r="B167" t="s">
        <v>75</v>
      </c>
      <c r="E167" s="35"/>
      <c r="G167" s="35"/>
      <c r="I167" s="35"/>
      <c r="K167" s="35"/>
      <c r="M167" s="35"/>
    </row>
    <row r="168" spans="1:15" x14ac:dyDescent="0.25">
      <c r="B168" t="s">
        <v>76</v>
      </c>
      <c r="E168" s="35"/>
      <c r="G168" s="35"/>
      <c r="I168" s="35"/>
      <c r="K168" s="35"/>
      <c r="M168" s="35"/>
    </row>
    <row r="170" spans="1:15" s="5" customFormat="1" ht="13" x14ac:dyDescent="0.3">
      <c r="B170" s="5" t="s">
        <v>78</v>
      </c>
      <c r="E170" s="25">
        <f>+E171+E162</f>
        <v>0</v>
      </c>
      <c r="G170" s="25">
        <f>+G171+G162</f>
        <v>0</v>
      </c>
      <c r="I170" s="25">
        <f>+I171+I162</f>
        <v>0</v>
      </c>
      <c r="K170" s="25">
        <f>+K171+K162</f>
        <v>0</v>
      </c>
      <c r="M170" s="25">
        <f>+M171+M162</f>
        <v>0</v>
      </c>
    </row>
    <row r="171" spans="1:15" s="5" customFormat="1" ht="13" x14ac:dyDescent="0.3">
      <c r="B171" s="5" t="s">
        <v>77</v>
      </c>
      <c r="E171" s="25">
        <f>+E156+E166</f>
        <v>0</v>
      </c>
      <c r="G171" s="25">
        <f>+G156+G166</f>
        <v>0</v>
      </c>
      <c r="I171" s="25">
        <f>+I156+I166</f>
        <v>0</v>
      </c>
      <c r="K171" s="25">
        <f>+K156+K166</f>
        <v>0</v>
      </c>
      <c r="M171" s="25">
        <f>+M156+M166</f>
        <v>0</v>
      </c>
    </row>
    <row r="172" spans="1:15" s="5" customFormat="1" ht="13" x14ac:dyDescent="0.3">
      <c r="B172" s="5" t="s">
        <v>79</v>
      </c>
      <c r="E172" s="25">
        <f>+E160+E166+E167+E168</f>
        <v>0</v>
      </c>
      <c r="G172" s="25">
        <f>+G160+G166+G167+G168</f>
        <v>0</v>
      </c>
      <c r="I172" s="25">
        <f>+I160+I166+I167+I168</f>
        <v>0</v>
      </c>
      <c r="K172" s="25">
        <f>+K160+K166+K167+K168</f>
        <v>0</v>
      </c>
      <c r="M172" s="25">
        <f>+M160+M166+M167+M168</f>
        <v>0</v>
      </c>
      <c r="O172" s="25"/>
    </row>
    <row r="173" spans="1:15" s="5" customFormat="1" ht="13.25" customHeight="1" x14ac:dyDescent="0.3">
      <c r="B173" s="5" t="s">
        <v>98</v>
      </c>
      <c r="E173" s="26">
        <f>+IFERROR(E172/E161,0)</f>
        <v>0</v>
      </c>
      <c r="G173" s="26">
        <f>+IFERROR(G172/G161,0)</f>
        <v>0</v>
      </c>
      <c r="I173" s="26">
        <f>+IFERROR(I172/I161,0)</f>
        <v>0</v>
      </c>
      <c r="K173" s="26">
        <f>+IFERROR(K172/K161,0)</f>
        <v>0</v>
      </c>
      <c r="M173" s="26">
        <f>+IFERROR(M172/M161,0)</f>
        <v>0</v>
      </c>
    </row>
    <row r="175" spans="1:15" s="5" customFormat="1" ht="13.25" customHeight="1" x14ac:dyDescent="0.3">
      <c r="A175" s="14" t="s">
        <v>84</v>
      </c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</row>
    <row r="176" spans="1:15" s="4" customFormat="1" ht="13" x14ac:dyDescent="0.3">
      <c r="B176" s="4" t="s">
        <v>8</v>
      </c>
      <c r="E176" s="43"/>
      <c r="G176" s="43"/>
      <c r="I176" s="43"/>
      <c r="K176" s="43"/>
      <c r="M176" s="43"/>
    </row>
    <row r="177" spans="2:13" s="4" customFormat="1" ht="13" x14ac:dyDescent="0.3">
      <c r="B177" s="4" t="s">
        <v>10</v>
      </c>
      <c r="E177" s="49">
        <f>+E13</f>
        <v>0</v>
      </c>
      <c r="G177" s="49">
        <f>+G13</f>
        <v>0</v>
      </c>
      <c r="I177" s="49">
        <f>+I13</f>
        <v>0</v>
      </c>
      <c r="K177" s="49">
        <f>+K13</f>
        <v>0</v>
      </c>
      <c r="M177" s="49">
        <f>+M13</f>
        <v>0</v>
      </c>
    </row>
    <row r="178" spans="2:13" s="4" customFormat="1" ht="13" x14ac:dyDescent="0.3"/>
    <row r="179" spans="2:13" x14ac:dyDescent="0.25">
      <c r="B179" t="s">
        <v>66</v>
      </c>
      <c r="E179" s="35"/>
      <c r="G179" s="35"/>
      <c r="I179" s="35"/>
      <c r="K179" s="35"/>
      <c r="M179" s="35"/>
    </row>
    <row r="180" spans="2:13" x14ac:dyDescent="0.25">
      <c r="B180" t="s">
        <v>80</v>
      </c>
      <c r="E180" s="35"/>
      <c r="G180" s="35"/>
      <c r="I180" s="35"/>
      <c r="K180" s="35"/>
      <c r="M180" s="35"/>
    </row>
    <row r="181" spans="2:13" x14ac:dyDescent="0.25">
      <c r="B181" t="s">
        <v>67</v>
      </c>
      <c r="E181" s="45">
        <f>+E179+E180</f>
        <v>0</v>
      </c>
      <c r="G181" s="45">
        <f>+G179+G180</f>
        <v>0</v>
      </c>
      <c r="I181" s="45">
        <f>+I179+I180</f>
        <v>0</v>
      </c>
      <c r="K181" s="45">
        <f>+K179+K180</f>
        <v>0</v>
      </c>
      <c r="M181" s="45">
        <f>+M179+M180</f>
        <v>0</v>
      </c>
    </row>
    <row r="182" spans="2:13" x14ac:dyDescent="0.25">
      <c r="B182" t="s">
        <v>81</v>
      </c>
      <c r="E182" s="35"/>
      <c r="G182" s="35"/>
      <c r="I182" s="35"/>
      <c r="K182" s="35"/>
      <c r="M182" s="35"/>
    </row>
    <row r="183" spans="2:13" s="5" customFormat="1" ht="13" x14ac:dyDescent="0.3">
      <c r="B183" s="5" t="s">
        <v>68</v>
      </c>
      <c r="E183" s="46">
        <f>+E181+E182</f>
        <v>0</v>
      </c>
      <c r="G183" s="46">
        <f>+G181+G182</f>
        <v>0</v>
      </c>
      <c r="I183" s="46">
        <f>+I181+I182</f>
        <v>0</v>
      </c>
      <c r="K183" s="46">
        <f>+K181+K182</f>
        <v>0</v>
      </c>
      <c r="M183" s="46">
        <f>+M181+M182</f>
        <v>0</v>
      </c>
    </row>
    <row r="184" spans="2:13" x14ac:dyDescent="0.25">
      <c r="B184" t="s">
        <v>82</v>
      </c>
      <c r="E184" s="47"/>
      <c r="G184" s="47"/>
      <c r="I184" s="47"/>
      <c r="K184" s="47"/>
      <c r="M184" s="47"/>
    </row>
    <row r="185" spans="2:13" x14ac:dyDescent="0.25">
      <c r="B185" t="s">
        <v>69</v>
      </c>
      <c r="E185" s="48">
        <f>+E183+E184</f>
        <v>0</v>
      </c>
      <c r="G185" s="48">
        <f>+G183+G184</f>
        <v>0</v>
      </c>
      <c r="I185" s="48">
        <f>+I183+I184</f>
        <v>0</v>
      </c>
      <c r="K185" s="48">
        <f>+K183+K184</f>
        <v>0</v>
      </c>
      <c r="M185" s="48">
        <f>+M183+M184</f>
        <v>0</v>
      </c>
    </row>
    <row r="186" spans="2:13" x14ac:dyDescent="0.25">
      <c r="B186" t="s">
        <v>70</v>
      </c>
      <c r="E186" s="35"/>
      <c r="G186" s="35"/>
      <c r="I186" s="35"/>
      <c r="K186" s="35"/>
      <c r="M186" s="35"/>
    </row>
    <row r="187" spans="2:13" s="5" customFormat="1" ht="13" x14ac:dyDescent="0.3">
      <c r="B187" s="5" t="s">
        <v>71</v>
      </c>
      <c r="E187" s="46">
        <f>+E185+E186</f>
        <v>0</v>
      </c>
      <c r="G187" s="46">
        <f>+G185+G186</f>
        <v>0</v>
      </c>
      <c r="I187" s="46">
        <f>+I185+I186</f>
        <v>0</v>
      </c>
      <c r="K187" s="46">
        <f>+K185+K186</f>
        <v>0</v>
      </c>
      <c r="M187" s="46">
        <f>+M185+M186</f>
        <v>0</v>
      </c>
    </row>
    <row r="188" spans="2:13" x14ac:dyDescent="0.25">
      <c r="B188" t="s">
        <v>72</v>
      </c>
      <c r="E188" s="38"/>
      <c r="G188" s="38"/>
      <c r="I188" s="38"/>
      <c r="K188" s="38"/>
      <c r="M188" s="38"/>
    </row>
    <row r="189" spans="2:13" x14ac:dyDescent="0.25">
      <c r="B189" t="s">
        <v>73</v>
      </c>
      <c r="E189" s="35"/>
      <c r="G189" s="35"/>
      <c r="I189" s="35"/>
      <c r="K189" s="35"/>
      <c r="M189" s="35"/>
    </row>
    <row r="191" spans="2:13" x14ac:dyDescent="0.25">
      <c r="B191" t="s">
        <v>74</v>
      </c>
      <c r="E191" s="35"/>
      <c r="G191" s="35"/>
      <c r="I191" s="35"/>
      <c r="K191" s="35"/>
      <c r="M191" s="35"/>
    </row>
    <row r="192" spans="2:13" x14ac:dyDescent="0.25">
      <c r="B192" t="s">
        <v>75</v>
      </c>
      <c r="E192" s="35"/>
      <c r="G192" s="35"/>
      <c r="I192" s="35"/>
      <c r="K192" s="35"/>
      <c r="M192" s="35"/>
    </row>
    <row r="193" spans="1:14" x14ac:dyDescent="0.25">
      <c r="B193" t="s">
        <v>76</v>
      </c>
      <c r="E193" s="35"/>
      <c r="G193" s="35"/>
      <c r="I193" s="35"/>
      <c r="K193" s="35"/>
      <c r="M193" s="35"/>
    </row>
    <row r="194" spans="1:14" s="4" customFormat="1" ht="13" x14ac:dyDescent="0.3">
      <c r="B194" s="4" t="s">
        <v>83</v>
      </c>
      <c r="E194" s="19">
        <f>-(IFERROR(E186/E185,0))</f>
        <v>0</v>
      </c>
      <c r="G194" s="19">
        <f>-(IFERROR(G186/G185,0))</f>
        <v>0</v>
      </c>
      <c r="I194" s="19">
        <f>-(IFERROR(I186/I185,0))</f>
        <v>0</v>
      </c>
      <c r="K194" s="19">
        <f>-(IFERROR(K186/K185,0))</f>
        <v>0</v>
      </c>
      <c r="M194" s="19">
        <f>-(IFERROR(M186/M185,0))</f>
        <v>0</v>
      </c>
    </row>
    <row r="196" spans="1:14" s="5" customFormat="1" ht="13" x14ac:dyDescent="0.3">
      <c r="B196" s="5" t="s">
        <v>78</v>
      </c>
      <c r="E196" s="25">
        <f>+E197+E189</f>
        <v>0</v>
      </c>
      <c r="G196" s="25">
        <f>+G197+G189</f>
        <v>0</v>
      </c>
      <c r="I196" s="25">
        <f>+I197+I189</f>
        <v>0</v>
      </c>
      <c r="K196" s="25">
        <f>+K197+K189</f>
        <v>0</v>
      </c>
      <c r="M196" s="25">
        <f>+M197+M189</f>
        <v>0</v>
      </c>
    </row>
    <row r="197" spans="1:14" s="5" customFormat="1" ht="13" x14ac:dyDescent="0.3">
      <c r="B197" s="5" t="s">
        <v>77</v>
      </c>
      <c r="E197" s="25">
        <f>+E183+E191</f>
        <v>0</v>
      </c>
      <c r="G197" s="25">
        <f>+G183+G191</f>
        <v>0</v>
      </c>
      <c r="I197" s="25">
        <f>+I183+I191</f>
        <v>0</v>
      </c>
      <c r="K197" s="25">
        <f>+K183+K191</f>
        <v>0</v>
      </c>
      <c r="M197" s="25">
        <f>+M183+M191</f>
        <v>0</v>
      </c>
    </row>
    <row r="198" spans="1:14" s="5" customFormat="1" ht="13" x14ac:dyDescent="0.3">
      <c r="B198" s="5" t="s">
        <v>79</v>
      </c>
      <c r="E198" s="25">
        <f>+E187+E191+E192+E193</f>
        <v>0</v>
      </c>
      <c r="G198" s="25">
        <f>+G187+G191+G192+G193</f>
        <v>0</v>
      </c>
      <c r="I198" s="25">
        <f>+I187+I191+I192+I193</f>
        <v>0</v>
      </c>
      <c r="K198" s="25">
        <f>+K187+K191+K192+K193</f>
        <v>0</v>
      </c>
      <c r="M198" s="25">
        <f>+M187+M191+M192+M193</f>
        <v>0</v>
      </c>
    </row>
    <row r="199" spans="1:14" s="5" customFormat="1" ht="13.25" customHeight="1" x14ac:dyDescent="0.3">
      <c r="B199" s="5" t="s">
        <v>98</v>
      </c>
      <c r="E199" s="26">
        <f>+IFERROR(E198/E188,0)</f>
        <v>0</v>
      </c>
      <c r="G199" s="26">
        <f>+IFERROR(G198/G188,0)</f>
        <v>0</v>
      </c>
      <c r="I199" s="26">
        <f>+IFERROR(I198/I188,0)</f>
        <v>0</v>
      </c>
      <c r="K199" s="26">
        <f>+IFERROR(K198/K188,0)</f>
        <v>0</v>
      </c>
      <c r="M199" s="26">
        <f>+IFERROR(M198/M188,0)</f>
        <v>0</v>
      </c>
    </row>
    <row r="201" spans="1:14" s="5" customFormat="1" ht="13.25" customHeight="1" x14ac:dyDescent="0.3">
      <c r="A201" s="14" t="s">
        <v>97</v>
      </c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</row>
    <row r="202" spans="1:14" s="4" customFormat="1" ht="13" x14ac:dyDescent="0.3">
      <c r="B202" s="4" t="s">
        <v>8</v>
      </c>
      <c r="E202" s="43"/>
      <c r="G202" s="43"/>
      <c r="I202" s="43"/>
      <c r="K202" s="43"/>
      <c r="M202" s="43"/>
    </row>
    <row r="203" spans="1:14" s="4" customFormat="1" ht="13" x14ac:dyDescent="0.3">
      <c r="B203" s="4" t="s">
        <v>10</v>
      </c>
      <c r="E203" s="49" t="e">
        <f>+EOMONTH(E177,-12)</f>
        <v>#NUM!</v>
      </c>
      <c r="G203" s="49" t="e">
        <f>+EOMONTH(G177,-12)</f>
        <v>#NUM!</v>
      </c>
      <c r="I203" s="49" t="e">
        <f>+EOMONTH(I177,-12)</f>
        <v>#NUM!</v>
      </c>
      <c r="K203" s="49" t="e">
        <f>+EOMONTH(K177,-12)</f>
        <v>#NUM!</v>
      </c>
      <c r="M203" s="49" t="e">
        <f>+EOMONTH(M177,-12)</f>
        <v>#NUM!</v>
      </c>
    </row>
    <row r="204" spans="1:14" s="4" customFormat="1" ht="13" x14ac:dyDescent="0.3"/>
    <row r="205" spans="1:14" x14ac:dyDescent="0.25">
      <c r="B205" t="s">
        <v>66</v>
      </c>
      <c r="E205" s="35"/>
      <c r="G205" s="35"/>
      <c r="I205" s="35"/>
      <c r="K205" s="35"/>
      <c r="M205" s="35"/>
    </row>
    <row r="206" spans="1:14" x14ac:dyDescent="0.25">
      <c r="B206" t="s">
        <v>80</v>
      </c>
      <c r="E206" s="35"/>
      <c r="G206" s="35"/>
      <c r="I206" s="35"/>
      <c r="K206" s="35"/>
      <c r="M206" s="35"/>
    </row>
    <row r="207" spans="1:14" x14ac:dyDescent="0.25">
      <c r="B207" t="s">
        <v>67</v>
      </c>
      <c r="E207" s="45">
        <f>+E205+E206</f>
        <v>0</v>
      </c>
      <c r="G207" s="45">
        <f>+G205+G206</f>
        <v>0</v>
      </c>
      <c r="I207" s="45">
        <f>+I205+I206</f>
        <v>0</v>
      </c>
      <c r="K207" s="45">
        <f>+K205+K206</f>
        <v>0</v>
      </c>
      <c r="M207" s="45">
        <f>+M205+M206</f>
        <v>0</v>
      </c>
    </row>
    <row r="208" spans="1:14" x14ac:dyDescent="0.25">
      <c r="B208" t="s">
        <v>81</v>
      </c>
      <c r="E208" s="35"/>
      <c r="G208" s="35"/>
      <c r="I208" s="35"/>
      <c r="K208" s="35"/>
      <c r="M208" s="35"/>
    </row>
    <row r="209" spans="2:13" s="5" customFormat="1" ht="13" x14ac:dyDescent="0.3">
      <c r="B209" s="5" t="s">
        <v>68</v>
      </c>
      <c r="E209" s="46">
        <f>+E207+E208</f>
        <v>0</v>
      </c>
      <c r="G209" s="46">
        <f>+G207+G208</f>
        <v>0</v>
      </c>
      <c r="I209" s="46">
        <f>+I207+I208</f>
        <v>0</v>
      </c>
      <c r="K209" s="46">
        <f>+K207+K208</f>
        <v>0</v>
      </c>
      <c r="M209" s="46">
        <f>+M207+M208</f>
        <v>0</v>
      </c>
    </row>
    <row r="210" spans="2:13" x14ac:dyDescent="0.25">
      <c r="B210" t="s">
        <v>82</v>
      </c>
      <c r="E210" s="47"/>
      <c r="G210" s="47"/>
      <c r="I210" s="47"/>
      <c r="K210" s="47"/>
      <c r="M210" s="47"/>
    </row>
    <row r="211" spans="2:13" x14ac:dyDescent="0.25">
      <c r="B211" t="s">
        <v>69</v>
      </c>
      <c r="E211" s="48">
        <f>+E209+E210</f>
        <v>0</v>
      </c>
      <c r="G211" s="48">
        <f>+G209+G210</f>
        <v>0</v>
      </c>
      <c r="I211" s="48">
        <f>+I209+I210</f>
        <v>0</v>
      </c>
      <c r="K211" s="48">
        <f>+K209+K210</f>
        <v>0</v>
      </c>
      <c r="M211" s="48">
        <f>+M209+M210</f>
        <v>0</v>
      </c>
    </row>
    <row r="212" spans="2:13" x14ac:dyDescent="0.25">
      <c r="B212" t="s">
        <v>70</v>
      </c>
      <c r="E212" s="35"/>
      <c r="G212" s="35"/>
      <c r="I212" s="35"/>
      <c r="K212" s="35"/>
      <c r="M212" s="35"/>
    </row>
    <row r="213" spans="2:13" s="5" customFormat="1" ht="13" x14ac:dyDescent="0.3">
      <c r="B213" s="5" t="s">
        <v>71</v>
      </c>
      <c r="E213" s="46">
        <f>+E211+E212</f>
        <v>0</v>
      </c>
      <c r="G213" s="46">
        <f>+G211+G212</f>
        <v>0</v>
      </c>
      <c r="I213" s="46">
        <f>+I211+I212</f>
        <v>0</v>
      </c>
      <c r="K213" s="46">
        <f>+K211+K212</f>
        <v>0</v>
      </c>
      <c r="M213" s="46">
        <f>+M211+M212</f>
        <v>0</v>
      </c>
    </row>
    <row r="214" spans="2:13" x14ac:dyDescent="0.25">
      <c r="B214" t="s">
        <v>72</v>
      </c>
      <c r="E214" s="38"/>
      <c r="G214" s="38"/>
      <c r="I214" s="38"/>
      <c r="K214" s="38"/>
      <c r="M214" s="38"/>
    </row>
    <row r="215" spans="2:13" x14ac:dyDescent="0.25">
      <c r="B215" t="s">
        <v>73</v>
      </c>
      <c r="E215" s="35"/>
      <c r="G215" s="35"/>
      <c r="I215" s="35"/>
      <c r="K215" s="35"/>
      <c r="M215" s="35"/>
    </row>
    <row r="217" spans="2:13" x14ac:dyDescent="0.25">
      <c r="B217" t="s">
        <v>74</v>
      </c>
      <c r="E217" s="35"/>
      <c r="G217" s="35"/>
      <c r="I217" s="35"/>
      <c r="K217" s="35"/>
      <c r="M217" s="35"/>
    </row>
    <row r="218" spans="2:13" x14ac:dyDescent="0.25">
      <c r="B218" t="s">
        <v>75</v>
      </c>
      <c r="E218" s="35"/>
      <c r="G218" s="35"/>
      <c r="I218" s="35"/>
      <c r="K218" s="35"/>
      <c r="M218" s="35"/>
    </row>
    <row r="219" spans="2:13" x14ac:dyDescent="0.25">
      <c r="B219" t="s">
        <v>76</v>
      </c>
      <c r="E219" s="35"/>
      <c r="G219" s="35"/>
      <c r="I219" s="35"/>
      <c r="K219" s="35"/>
      <c r="M219" s="35"/>
    </row>
    <row r="220" spans="2:13" s="4" customFormat="1" ht="13" x14ac:dyDescent="0.3">
      <c r="B220" s="4" t="s">
        <v>83</v>
      </c>
      <c r="E220" s="19">
        <f>-(IFERROR(E212/E211,0))</f>
        <v>0</v>
      </c>
      <c r="G220" s="19">
        <f>-(IFERROR(G212/G211,0))</f>
        <v>0</v>
      </c>
      <c r="I220" s="19">
        <f>-(IFERROR(I212/I211,0))</f>
        <v>0</v>
      </c>
      <c r="K220" s="19">
        <f>-(IFERROR(K212/K211,0))</f>
        <v>0</v>
      </c>
      <c r="M220" s="19">
        <f>-(IFERROR(M212/M211,0))</f>
        <v>0</v>
      </c>
    </row>
    <row r="221" spans="2:13" x14ac:dyDescent="0.25">
      <c r="G221" s="54"/>
    </row>
    <row r="222" spans="2:13" s="5" customFormat="1" ht="13" x14ac:dyDescent="0.3">
      <c r="B222" s="5" t="s">
        <v>78</v>
      </c>
      <c r="E222" s="25">
        <f>+E223+E215</f>
        <v>0</v>
      </c>
      <c r="G222" s="25">
        <f>+G223+G215</f>
        <v>0</v>
      </c>
      <c r="I222" s="25">
        <f>+I223+I215</f>
        <v>0</v>
      </c>
      <c r="K222" s="25">
        <f>+K223+K215</f>
        <v>0</v>
      </c>
      <c r="M222" s="25">
        <f>+M223+M215</f>
        <v>0</v>
      </c>
    </row>
    <row r="223" spans="2:13" s="5" customFormat="1" ht="13" x14ac:dyDescent="0.3">
      <c r="B223" s="5" t="s">
        <v>77</v>
      </c>
      <c r="E223" s="25">
        <f>+E209+E217</f>
        <v>0</v>
      </c>
      <c r="G223" s="25">
        <f>+G209+G217</f>
        <v>0</v>
      </c>
      <c r="I223" s="25">
        <f>+I209+I217</f>
        <v>0</v>
      </c>
      <c r="K223" s="25">
        <f>+K209+K217</f>
        <v>0</v>
      </c>
      <c r="M223" s="25">
        <f>+M209+M217</f>
        <v>0</v>
      </c>
    </row>
    <row r="224" spans="2:13" s="5" customFormat="1" ht="13" x14ac:dyDescent="0.3">
      <c r="B224" s="5" t="s">
        <v>79</v>
      </c>
      <c r="E224" s="25">
        <f>+E213+E217+E218+E219</f>
        <v>0</v>
      </c>
      <c r="G224" s="25">
        <f>+G213+G217+G218+G219</f>
        <v>0</v>
      </c>
      <c r="I224" s="25">
        <f>+I213+I217+I218+I219</f>
        <v>0</v>
      </c>
      <c r="K224" s="25">
        <f>+K213+K217+K218+K219</f>
        <v>0</v>
      </c>
      <c r="M224" s="25">
        <f>+M213+M217+M218+M219</f>
        <v>0</v>
      </c>
    </row>
    <row r="225" spans="1:14" s="5" customFormat="1" ht="13" x14ac:dyDescent="0.3">
      <c r="B225" s="5" t="s">
        <v>98</v>
      </c>
      <c r="E225" s="26">
        <f>+IFERROR(E224/E214,0)</f>
        <v>0</v>
      </c>
      <c r="G225" s="26">
        <f>+IFERROR(G224/G214,0)</f>
        <v>0</v>
      </c>
      <c r="I225" s="26">
        <f>+IFERROR(I224/I214,0)</f>
        <v>0</v>
      </c>
      <c r="K225" s="26">
        <f>+IFERROR(K224/K214,0)</f>
        <v>0</v>
      </c>
      <c r="M225" s="26">
        <f>+IFERROR(M224/M214,0)</f>
        <v>0</v>
      </c>
    </row>
    <row r="226" spans="1:14" s="5" customFormat="1" ht="13" x14ac:dyDescent="0.3">
      <c r="E226" s="10"/>
      <c r="G226" s="10"/>
      <c r="I226" s="10"/>
      <c r="K226" s="10"/>
      <c r="M226" s="10"/>
    </row>
    <row r="227" spans="1:14" s="5" customFormat="1" ht="13.25" customHeight="1" x14ac:dyDescent="0.3">
      <c r="A227" s="14" t="s">
        <v>92</v>
      </c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</row>
    <row r="228" spans="1:14" s="5" customFormat="1" ht="13" x14ac:dyDescent="0.3">
      <c r="E228" s="10"/>
      <c r="G228" s="10"/>
      <c r="I228" s="10"/>
      <c r="K228" s="10"/>
      <c r="M228" s="10"/>
    </row>
    <row r="229" spans="1:14" s="5" customFormat="1" ht="13" x14ac:dyDescent="0.3">
      <c r="B229" s="5" t="s">
        <v>93</v>
      </c>
      <c r="C229" s="56" t="s">
        <v>141</v>
      </c>
      <c r="E229" s="25">
        <f>+E152+E179-E205</f>
        <v>0</v>
      </c>
      <c r="G229" s="25">
        <f>+G152+G179-G205</f>
        <v>0</v>
      </c>
      <c r="I229" s="25">
        <f>+I152+I179-I205</f>
        <v>0</v>
      </c>
      <c r="K229" s="25">
        <f>+K152+K179-K205</f>
        <v>0</v>
      </c>
      <c r="M229" s="25">
        <f>+M152+M179-M205</f>
        <v>0</v>
      </c>
    </row>
    <row r="230" spans="1:14" s="5" customFormat="1" ht="13" x14ac:dyDescent="0.3">
      <c r="B230" s="5" t="s">
        <v>94</v>
      </c>
      <c r="C230" s="56" t="s">
        <v>142</v>
      </c>
      <c r="E230" s="25">
        <f>+E170+E196-E222</f>
        <v>0</v>
      </c>
      <c r="G230" s="25">
        <f>+G170+G196-G222</f>
        <v>0</v>
      </c>
      <c r="I230" s="25">
        <f>+I170+I196-I222</f>
        <v>0</v>
      </c>
      <c r="K230" s="25">
        <f>+K170+K196-K222</f>
        <v>0</v>
      </c>
      <c r="M230" s="25">
        <f>+M170+M196-M222</f>
        <v>0</v>
      </c>
    </row>
    <row r="231" spans="1:14" s="5" customFormat="1" ht="13" x14ac:dyDescent="0.3">
      <c r="B231" s="5" t="s">
        <v>95</v>
      </c>
      <c r="C231" s="56" t="s">
        <v>143</v>
      </c>
      <c r="E231" s="25">
        <f>+E171+E197-E223</f>
        <v>0</v>
      </c>
      <c r="G231" s="25">
        <f>+G171+G197-G223</f>
        <v>0</v>
      </c>
      <c r="I231" s="25">
        <f>+I171+I197-I223</f>
        <v>0</v>
      </c>
      <c r="K231" s="25">
        <f>+K171+K197-K223</f>
        <v>0</v>
      </c>
      <c r="M231" s="25">
        <f>+M171+M197-M223</f>
        <v>0</v>
      </c>
    </row>
    <row r="232" spans="1:14" s="5" customFormat="1" ht="13" x14ac:dyDescent="0.3">
      <c r="B232" s="5" t="s">
        <v>96</v>
      </c>
      <c r="C232" s="56" t="s">
        <v>145</v>
      </c>
      <c r="E232" s="25">
        <f>+E172+E198-E224</f>
        <v>0</v>
      </c>
      <c r="G232" s="25">
        <f>+G172+G198-G224</f>
        <v>0</v>
      </c>
      <c r="I232" s="25">
        <f>+I172+I198-I224</f>
        <v>0</v>
      </c>
      <c r="K232" s="25">
        <f>+K172+K198-K224</f>
        <v>0</v>
      </c>
      <c r="M232" s="25">
        <f>+M172+M198-M224</f>
        <v>0</v>
      </c>
    </row>
    <row r="233" spans="1:14" s="5" customFormat="1" ht="13" x14ac:dyDescent="0.3">
      <c r="B233" s="5" t="s">
        <v>99</v>
      </c>
      <c r="C233" s="56" t="s">
        <v>144</v>
      </c>
      <c r="E233" s="26">
        <f>+E173+E199-E225</f>
        <v>0</v>
      </c>
      <c r="G233" s="26">
        <f>+G173+G199-G225</f>
        <v>0</v>
      </c>
      <c r="I233" s="26">
        <f>+I173+I199-I225</f>
        <v>0</v>
      </c>
      <c r="K233" s="26">
        <f>+K173+K199-K225</f>
        <v>0</v>
      </c>
      <c r="M233" s="26">
        <f>+M173+M199-M225</f>
        <v>0</v>
      </c>
    </row>
    <row r="235" spans="1:14" ht="13" x14ac:dyDescent="0.3">
      <c r="A235" s="15" t="s">
        <v>85</v>
      </c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</row>
    <row r="237" spans="1:14" ht="13" x14ac:dyDescent="0.3">
      <c r="A237" s="17" t="s">
        <v>86</v>
      </c>
      <c r="B237" s="18"/>
      <c r="C237" s="22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</row>
    <row r="238" spans="1:14" ht="13" x14ac:dyDescent="0.3">
      <c r="B238" s="5" t="s">
        <v>66</v>
      </c>
    </row>
    <row r="239" spans="1:14" ht="13.25" customHeight="1" x14ac:dyDescent="0.25">
      <c r="B239" s="23" t="s">
        <v>88</v>
      </c>
      <c r="C239" s="56" t="s">
        <v>146</v>
      </c>
      <c r="E239" s="8">
        <f>+E152</f>
        <v>0</v>
      </c>
      <c r="G239" s="8">
        <f>+G152</f>
        <v>0</v>
      </c>
      <c r="I239" s="8">
        <f>+I152</f>
        <v>0</v>
      </c>
      <c r="K239" s="8">
        <f>+K152</f>
        <v>0</v>
      </c>
      <c r="M239" s="8">
        <f>+M152</f>
        <v>0</v>
      </c>
    </row>
    <row r="240" spans="1:14" ht="13.25" customHeight="1" x14ac:dyDescent="0.25">
      <c r="B240" s="23" t="s">
        <v>89</v>
      </c>
      <c r="C240" s="56" t="s">
        <v>147</v>
      </c>
      <c r="E240" s="32"/>
      <c r="G240" s="32"/>
      <c r="I240" s="32"/>
      <c r="K240" s="32"/>
      <c r="M240" s="32"/>
    </row>
    <row r="241" spans="2:13" ht="13.25" customHeight="1" x14ac:dyDescent="0.25">
      <c r="B241" s="23" t="s">
        <v>90</v>
      </c>
      <c r="C241" s="56" t="s">
        <v>148</v>
      </c>
      <c r="E241" s="32"/>
      <c r="G241" s="32"/>
      <c r="I241" s="32"/>
      <c r="K241" s="32"/>
      <c r="M241" s="32"/>
    </row>
    <row r="242" spans="2:13" ht="13.25" customHeight="1" x14ac:dyDescent="0.25">
      <c r="B242" s="23" t="s">
        <v>91</v>
      </c>
      <c r="C242" s="56" t="s">
        <v>149</v>
      </c>
      <c r="E242" s="32"/>
      <c r="G242" s="32"/>
      <c r="I242" s="32"/>
      <c r="K242" s="32"/>
      <c r="M242" s="32"/>
    </row>
    <row r="243" spans="2:13" ht="13.25" customHeight="1" x14ac:dyDescent="0.25">
      <c r="B243" s="23" t="s">
        <v>107</v>
      </c>
      <c r="C243" s="56" t="s">
        <v>150</v>
      </c>
      <c r="E243" s="32"/>
      <c r="G243" s="32"/>
      <c r="I243" s="32"/>
      <c r="K243" s="32"/>
      <c r="M243" s="32"/>
    </row>
    <row r="244" spans="2:13" x14ac:dyDescent="0.25">
      <c r="B244" s="21"/>
    </row>
    <row r="245" spans="2:13" ht="13" x14ac:dyDescent="0.3">
      <c r="B245" s="5" t="s">
        <v>78</v>
      </c>
    </row>
    <row r="246" spans="2:13" x14ac:dyDescent="0.25">
      <c r="B246" s="23" t="s">
        <v>88</v>
      </c>
      <c r="C246" s="56" t="s">
        <v>151</v>
      </c>
      <c r="E246" s="8">
        <f>+E170</f>
        <v>0</v>
      </c>
      <c r="G246" s="8">
        <f>+G170</f>
        <v>0</v>
      </c>
      <c r="I246" s="8">
        <f>+I170</f>
        <v>0</v>
      </c>
      <c r="K246" s="8">
        <f>+K170</f>
        <v>0</v>
      </c>
      <c r="M246" s="8">
        <f>+M170</f>
        <v>0</v>
      </c>
    </row>
    <row r="247" spans="2:13" x14ac:dyDescent="0.25">
      <c r="B247" s="23" t="s">
        <v>89</v>
      </c>
      <c r="C247" s="56" t="s">
        <v>152</v>
      </c>
      <c r="E247" s="32"/>
      <c r="G247" s="32"/>
      <c r="I247" s="32"/>
      <c r="K247" s="32"/>
      <c r="M247" s="32"/>
    </row>
    <row r="248" spans="2:13" x14ac:dyDescent="0.25">
      <c r="B248" s="23" t="s">
        <v>90</v>
      </c>
      <c r="C248" s="56" t="s">
        <v>153</v>
      </c>
      <c r="E248" s="32"/>
      <c r="G248" s="32"/>
      <c r="I248" s="32"/>
      <c r="K248" s="32"/>
      <c r="M248" s="32"/>
    </row>
    <row r="249" spans="2:13" x14ac:dyDescent="0.25">
      <c r="B249" s="23" t="s">
        <v>91</v>
      </c>
      <c r="C249" s="56" t="s">
        <v>154</v>
      </c>
      <c r="E249" s="32"/>
      <c r="G249" s="32"/>
      <c r="I249" s="32"/>
      <c r="K249" s="32"/>
      <c r="M249" s="32"/>
    </row>
    <row r="250" spans="2:13" x14ac:dyDescent="0.25">
      <c r="B250" s="23" t="s">
        <v>107</v>
      </c>
      <c r="C250" s="56" t="s">
        <v>155</v>
      </c>
      <c r="E250" s="32"/>
      <c r="G250" s="32"/>
      <c r="I250" s="32"/>
      <c r="K250" s="32"/>
      <c r="M250" s="32"/>
    </row>
    <row r="251" spans="2:13" x14ac:dyDescent="0.25">
      <c r="B251" s="21"/>
    </row>
    <row r="252" spans="2:13" ht="13" x14ac:dyDescent="0.3">
      <c r="B252" s="5" t="s">
        <v>77</v>
      </c>
    </row>
    <row r="253" spans="2:13" x14ac:dyDescent="0.25">
      <c r="B253" s="23" t="s">
        <v>88</v>
      </c>
      <c r="C253" s="56" t="s">
        <v>168</v>
      </c>
      <c r="E253" s="8">
        <f>+E171</f>
        <v>0</v>
      </c>
      <c r="G253" s="8">
        <f>+G171</f>
        <v>0</v>
      </c>
      <c r="I253" s="8">
        <f>+I171</f>
        <v>0</v>
      </c>
      <c r="K253" s="8">
        <f>+K171</f>
        <v>0</v>
      </c>
      <c r="M253" s="8">
        <f>+M171</f>
        <v>0</v>
      </c>
    </row>
    <row r="254" spans="2:13" x14ac:dyDescent="0.25">
      <c r="B254" s="23" t="s">
        <v>89</v>
      </c>
      <c r="C254" s="56" t="s">
        <v>169</v>
      </c>
      <c r="E254" s="32"/>
      <c r="G254" s="32"/>
      <c r="I254" s="32"/>
      <c r="K254" s="32"/>
      <c r="M254" s="32"/>
    </row>
    <row r="255" spans="2:13" x14ac:dyDescent="0.25">
      <c r="B255" s="23" t="s">
        <v>90</v>
      </c>
      <c r="C255" s="56" t="s">
        <v>170</v>
      </c>
      <c r="E255" s="32"/>
      <c r="G255" s="32"/>
      <c r="I255" s="32"/>
      <c r="K255" s="32"/>
      <c r="M255" s="32"/>
    </row>
    <row r="256" spans="2:13" x14ac:dyDescent="0.25">
      <c r="B256" s="23" t="s">
        <v>91</v>
      </c>
      <c r="C256" s="56" t="s">
        <v>171</v>
      </c>
      <c r="E256" s="32"/>
      <c r="G256" s="32"/>
      <c r="I256" s="32"/>
      <c r="K256" s="32"/>
      <c r="M256" s="32"/>
    </row>
    <row r="257" spans="2:13" x14ac:dyDescent="0.25">
      <c r="B257" s="23" t="s">
        <v>107</v>
      </c>
      <c r="C257" s="56" t="s">
        <v>172</v>
      </c>
      <c r="E257" s="32"/>
      <c r="G257" s="32"/>
      <c r="I257" s="32"/>
      <c r="K257" s="32"/>
      <c r="M257" s="32"/>
    </row>
    <row r="258" spans="2:13" x14ac:dyDescent="0.25">
      <c r="B258" s="21"/>
    </row>
    <row r="259" spans="2:13" ht="13" x14ac:dyDescent="0.3">
      <c r="B259" s="5" t="s">
        <v>79</v>
      </c>
    </row>
    <row r="260" spans="2:13" x14ac:dyDescent="0.25">
      <c r="B260" s="23" t="s">
        <v>88</v>
      </c>
      <c r="C260" s="56" t="s">
        <v>163</v>
      </c>
      <c r="E260" s="8">
        <f>+E172</f>
        <v>0</v>
      </c>
      <c r="G260" s="8">
        <f>+G172</f>
        <v>0</v>
      </c>
      <c r="I260" s="8">
        <f>+I172</f>
        <v>0</v>
      </c>
      <c r="K260" s="8">
        <f>+K172</f>
        <v>0</v>
      </c>
      <c r="M260" s="8">
        <f>+M172</f>
        <v>0</v>
      </c>
    </row>
    <row r="261" spans="2:13" x14ac:dyDescent="0.25">
      <c r="B261" s="23" t="s">
        <v>89</v>
      </c>
      <c r="C261" s="56" t="s">
        <v>164</v>
      </c>
      <c r="E261" s="32"/>
      <c r="G261" s="32"/>
      <c r="I261" s="32"/>
      <c r="K261" s="32"/>
      <c r="M261" s="32"/>
    </row>
    <row r="262" spans="2:13" x14ac:dyDescent="0.25">
      <c r="B262" s="23" t="s">
        <v>90</v>
      </c>
      <c r="C262" s="56" t="s">
        <v>165</v>
      </c>
      <c r="E262" s="32"/>
      <c r="G262" s="32"/>
      <c r="I262" s="32"/>
      <c r="K262" s="32"/>
      <c r="M262" s="32"/>
    </row>
    <row r="263" spans="2:13" x14ac:dyDescent="0.25">
      <c r="B263" s="23" t="s">
        <v>91</v>
      </c>
      <c r="C263" s="56" t="s">
        <v>166</v>
      </c>
      <c r="E263" s="32"/>
      <c r="G263" s="32"/>
      <c r="I263" s="32"/>
      <c r="K263" s="32"/>
      <c r="M263" s="32"/>
    </row>
    <row r="264" spans="2:13" x14ac:dyDescent="0.25">
      <c r="B264" s="23" t="s">
        <v>107</v>
      </c>
      <c r="C264" s="56" t="s">
        <v>167</v>
      </c>
      <c r="E264" s="32"/>
      <c r="G264" s="32"/>
      <c r="I264" s="32"/>
      <c r="K264" s="32"/>
      <c r="M264" s="32"/>
    </row>
    <row r="265" spans="2:13" x14ac:dyDescent="0.25">
      <c r="B265" s="21"/>
    </row>
    <row r="266" spans="2:13" ht="13" x14ac:dyDescent="0.3">
      <c r="B266" s="5" t="s">
        <v>98</v>
      </c>
    </row>
    <row r="267" spans="2:13" x14ac:dyDescent="0.25">
      <c r="B267" s="23" t="s">
        <v>88</v>
      </c>
      <c r="C267" s="56" t="s">
        <v>158</v>
      </c>
      <c r="E267" s="33">
        <f>+E173</f>
        <v>0</v>
      </c>
      <c r="G267" s="33">
        <f>+G173</f>
        <v>0</v>
      </c>
      <c r="I267" s="33">
        <f>+I173</f>
        <v>0</v>
      </c>
      <c r="K267" s="33">
        <f>+K173</f>
        <v>0</v>
      </c>
      <c r="M267" s="33">
        <f>+M173</f>
        <v>0</v>
      </c>
    </row>
    <row r="268" spans="2:13" x14ac:dyDescent="0.25">
      <c r="B268" s="23" t="s">
        <v>89</v>
      </c>
      <c r="C268" s="56" t="s">
        <v>159</v>
      </c>
      <c r="E268" s="36"/>
      <c r="G268" s="36"/>
      <c r="I268" s="36"/>
      <c r="K268" s="36"/>
      <c r="M268" s="36"/>
    </row>
    <row r="269" spans="2:13" x14ac:dyDescent="0.25">
      <c r="B269" s="23" t="s">
        <v>90</v>
      </c>
      <c r="C269" s="56" t="s">
        <v>160</v>
      </c>
      <c r="E269" s="36"/>
      <c r="G269" s="36"/>
      <c r="I269" s="36"/>
      <c r="K269" s="36"/>
      <c r="M269" s="36"/>
    </row>
    <row r="270" spans="2:13" x14ac:dyDescent="0.25">
      <c r="B270" s="23" t="s">
        <v>91</v>
      </c>
      <c r="C270" s="56" t="s">
        <v>161</v>
      </c>
      <c r="E270" s="36"/>
      <c r="G270" s="36"/>
      <c r="I270" s="36"/>
      <c r="K270" s="36"/>
      <c r="M270" s="36"/>
    </row>
    <row r="271" spans="2:13" x14ac:dyDescent="0.25">
      <c r="B271" s="23" t="s">
        <v>107</v>
      </c>
      <c r="C271" s="56" t="s">
        <v>162</v>
      </c>
      <c r="E271" s="36"/>
      <c r="G271" s="36"/>
      <c r="I271" s="36"/>
      <c r="K271" s="36"/>
      <c r="M271" s="36"/>
    </row>
    <row r="272" spans="2:13" x14ac:dyDescent="0.25">
      <c r="B272" s="21"/>
    </row>
    <row r="273" spans="1:14" ht="13" x14ac:dyDescent="0.3">
      <c r="A273" s="17" t="s">
        <v>100</v>
      </c>
      <c r="B273" s="18"/>
      <c r="C273" s="22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</row>
    <row r="274" spans="1:14" ht="13" x14ac:dyDescent="0.3">
      <c r="A274" s="5"/>
      <c r="B274" s="23" t="s">
        <v>106</v>
      </c>
      <c r="C274" s="30"/>
      <c r="E274" s="37">
        <f>EOMONTH(E12,12)</f>
        <v>397</v>
      </c>
      <c r="G274" s="37">
        <f>EOMONTH(G12,12)</f>
        <v>397</v>
      </c>
      <c r="I274" s="37">
        <f>EOMONTH(I12,12)</f>
        <v>397</v>
      </c>
      <c r="K274" s="37">
        <f>EOMONTH(K12,12)</f>
        <v>397</v>
      </c>
      <c r="M274" s="37">
        <f>EOMONTH(M12,12)</f>
        <v>397</v>
      </c>
    </row>
    <row r="275" spans="1:14" ht="13" x14ac:dyDescent="0.3">
      <c r="A275" s="5"/>
      <c r="B275" s="23" t="s">
        <v>118</v>
      </c>
      <c r="C275" s="30"/>
      <c r="E275" s="37">
        <f>+$C$6</f>
        <v>45291</v>
      </c>
      <c r="G275" s="37">
        <f>+$C$6</f>
        <v>45291</v>
      </c>
      <c r="I275" s="37">
        <f>+$C$6</f>
        <v>45291</v>
      </c>
      <c r="K275" s="37">
        <f>+$C$6</f>
        <v>45291</v>
      </c>
      <c r="M275" s="37">
        <f>+$C$6</f>
        <v>45291</v>
      </c>
    </row>
    <row r="276" spans="1:14" ht="13" x14ac:dyDescent="0.3">
      <c r="A276" s="5"/>
      <c r="B276" s="23"/>
      <c r="C276" s="30"/>
    </row>
    <row r="277" spans="1:14" ht="13" x14ac:dyDescent="0.3">
      <c r="A277" s="5"/>
      <c r="B277" s="23" t="s">
        <v>101</v>
      </c>
      <c r="C277" s="30"/>
      <c r="E277" s="31">
        <f>YEARFRAC(E274,E275)</f>
        <v>122.91666666666667</v>
      </c>
      <c r="G277" s="31">
        <f>YEARFRAC(G274,G275)</f>
        <v>122.91666666666667</v>
      </c>
      <c r="I277" s="31">
        <f>YEARFRAC(I274,I275)</f>
        <v>122.91666666666667</v>
      </c>
      <c r="K277" s="31">
        <f>YEARFRAC(K274,K275)</f>
        <v>122.91666666666667</v>
      </c>
      <c r="M277" s="31">
        <f>YEARFRAC(M274,M275)</f>
        <v>122.91666666666667</v>
      </c>
    </row>
    <row r="278" spans="1:14" ht="13" x14ac:dyDescent="0.3">
      <c r="A278" s="5"/>
      <c r="B278" s="23" t="s">
        <v>102</v>
      </c>
      <c r="C278" s="30"/>
      <c r="E278" s="31">
        <f>1-E277</f>
        <v>-121.91666666666667</v>
      </c>
      <c r="G278" s="31">
        <f>1-G277</f>
        <v>-121.91666666666667</v>
      </c>
      <c r="I278" s="31">
        <f>1-I277</f>
        <v>-121.91666666666667</v>
      </c>
      <c r="K278" s="31">
        <f>1-K277</f>
        <v>-121.91666666666667</v>
      </c>
      <c r="M278" s="31">
        <f>1-M277</f>
        <v>-121.91666666666667</v>
      </c>
    </row>
    <row r="279" spans="1:14" ht="13" x14ac:dyDescent="0.3">
      <c r="A279" s="5"/>
      <c r="C279" s="30"/>
    </row>
    <row r="280" spans="1:14" ht="13" x14ac:dyDescent="0.3">
      <c r="B280" s="5" t="s">
        <v>66</v>
      </c>
    </row>
    <row r="281" spans="1:14" x14ac:dyDescent="0.25">
      <c r="B281" s="23" t="s">
        <v>117</v>
      </c>
      <c r="C281" s="56" t="s">
        <v>173</v>
      </c>
      <c r="E281" s="50" t="str">
        <f>IF(E240="","n/a",E239*E$277+E240*E$278)</f>
        <v>n/a</v>
      </c>
      <c r="G281" s="50" t="str">
        <f>IF(G240="","n/a",G239*G$277+G240*G$278)</f>
        <v>n/a</v>
      </c>
      <c r="I281" s="50" t="str">
        <f>IF(I240="","n/a",I239*I$277+I240*I$278)</f>
        <v>n/a</v>
      </c>
      <c r="K281" s="50" t="str">
        <f>IF(K240="","n/a",K239*K$277+K240*K$278)</f>
        <v>n/a</v>
      </c>
      <c r="M281" s="50" t="str">
        <f>IF(M240="","n/a",M239*M$277+M240*M$278)</f>
        <v>n/a</v>
      </c>
    </row>
    <row r="282" spans="1:14" x14ac:dyDescent="0.25">
      <c r="B282" s="23" t="s">
        <v>103</v>
      </c>
      <c r="C282" s="56" t="s">
        <v>174</v>
      </c>
      <c r="E282" s="50" t="str">
        <f t="shared" ref="E282:G284" si="0">IF(E241="","n/a",E240*E$277+E241*E$278)</f>
        <v>n/a</v>
      </c>
      <c r="G282" s="50" t="str">
        <f t="shared" si="0"/>
        <v>n/a</v>
      </c>
      <c r="I282" s="50" t="str">
        <f t="shared" ref="I282:K282" si="1">IF(I241="","n/a",I240*I$277+I241*I$278)</f>
        <v>n/a</v>
      </c>
      <c r="K282" s="50" t="str">
        <f t="shared" si="1"/>
        <v>n/a</v>
      </c>
      <c r="M282" s="50" t="str">
        <f t="shared" ref="M282" si="2">IF(M241="","n/a",M240*M$277+M241*M$278)</f>
        <v>n/a</v>
      </c>
    </row>
    <row r="283" spans="1:14" x14ac:dyDescent="0.25">
      <c r="B283" s="23" t="s">
        <v>104</v>
      </c>
      <c r="C283" s="56" t="s">
        <v>175</v>
      </c>
      <c r="E283" s="50" t="str">
        <f t="shared" si="0"/>
        <v>n/a</v>
      </c>
      <c r="G283" s="50" t="str">
        <f t="shared" si="0"/>
        <v>n/a</v>
      </c>
      <c r="I283" s="50" t="str">
        <f t="shared" ref="I283:K283" si="3">IF(I242="","n/a",I241*I$277+I242*I$278)</f>
        <v>n/a</v>
      </c>
      <c r="K283" s="50" t="str">
        <f t="shared" si="3"/>
        <v>n/a</v>
      </c>
      <c r="M283" s="50" t="str">
        <f t="shared" ref="M283" si="4">IF(M242="","n/a",M241*M$277+M242*M$278)</f>
        <v>n/a</v>
      </c>
    </row>
    <row r="284" spans="1:14" x14ac:dyDescent="0.25">
      <c r="B284" s="23" t="s">
        <v>105</v>
      </c>
      <c r="C284" s="56" t="s">
        <v>176</v>
      </c>
      <c r="E284" s="50" t="str">
        <f t="shared" si="0"/>
        <v>n/a</v>
      </c>
      <c r="G284" s="50" t="str">
        <f t="shared" si="0"/>
        <v>n/a</v>
      </c>
      <c r="I284" s="50" t="str">
        <f t="shared" ref="I284:K284" si="5">IF(I243="","n/a",I242*I$277+I243*I$278)</f>
        <v>n/a</v>
      </c>
      <c r="K284" s="50" t="str">
        <f t="shared" si="5"/>
        <v>n/a</v>
      </c>
      <c r="M284" s="50" t="str">
        <f t="shared" ref="M284" si="6">IF(M243="","n/a",M242*M$277+M243*M$278)</f>
        <v>n/a</v>
      </c>
    </row>
    <row r="285" spans="1:14" x14ac:dyDescent="0.25">
      <c r="B285" s="21"/>
      <c r="C285" s="56"/>
    </row>
    <row r="286" spans="1:14" ht="13" x14ac:dyDescent="0.3">
      <c r="B286" s="5" t="s">
        <v>78</v>
      </c>
    </row>
    <row r="287" spans="1:14" x14ac:dyDescent="0.25">
      <c r="B287" s="23" t="s">
        <v>117</v>
      </c>
      <c r="C287" s="56" t="s">
        <v>177</v>
      </c>
      <c r="E287" s="50" t="str">
        <f>IF(E247="","n/a",E246*E$277+E247*E$278)</f>
        <v>n/a</v>
      </c>
      <c r="G287" s="50" t="str">
        <f>IF(G247="","n/a",G246*G$277+G247*G$278)</f>
        <v>n/a</v>
      </c>
      <c r="I287" s="50" t="str">
        <f>IF(I247="","n/a",I246*I$277+I247*I$278)</f>
        <v>n/a</v>
      </c>
      <c r="K287" s="50" t="str">
        <f>IF(K247="","n/a",K246*K$277+K247*K$278)</f>
        <v>n/a</v>
      </c>
      <c r="M287" s="50" t="str">
        <f>IF(M247="","n/a",M246*M$277+M247*M$278)</f>
        <v>n/a</v>
      </c>
    </row>
    <row r="288" spans="1:14" x14ac:dyDescent="0.25">
      <c r="B288" s="23" t="s">
        <v>103</v>
      </c>
      <c r="C288" s="56" t="s">
        <v>178</v>
      </c>
      <c r="E288" s="50" t="str">
        <f t="shared" ref="E288:G290" si="7">IF(E248="","n/a",E247*E$277+E248*E$278)</f>
        <v>n/a</v>
      </c>
      <c r="G288" s="50" t="str">
        <f t="shared" si="7"/>
        <v>n/a</v>
      </c>
      <c r="I288" s="50" t="str">
        <f t="shared" ref="I288:K288" si="8">IF(I248="","n/a",I247*I$277+I248*I$278)</f>
        <v>n/a</v>
      </c>
      <c r="K288" s="50" t="str">
        <f t="shared" si="8"/>
        <v>n/a</v>
      </c>
      <c r="M288" s="50" t="str">
        <f t="shared" ref="M288" si="9">IF(M248="","n/a",M247*M$277+M248*M$278)</f>
        <v>n/a</v>
      </c>
    </row>
    <row r="289" spans="2:13" x14ac:dyDescent="0.25">
      <c r="B289" s="23" t="s">
        <v>104</v>
      </c>
      <c r="C289" s="56" t="s">
        <v>179</v>
      </c>
      <c r="E289" s="50" t="str">
        <f t="shared" si="7"/>
        <v>n/a</v>
      </c>
      <c r="G289" s="50" t="str">
        <f t="shared" si="7"/>
        <v>n/a</v>
      </c>
      <c r="I289" s="50" t="str">
        <f t="shared" ref="I289:K289" si="10">IF(I249="","n/a",I248*I$277+I249*I$278)</f>
        <v>n/a</v>
      </c>
      <c r="K289" s="50" t="str">
        <f t="shared" si="10"/>
        <v>n/a</v>
      </c>
      <c r="M289" s="50" t="str">
        <f t="shared" ref="M289" si="11">IF(M249="","n/a",M248*M$277+M249*M$278)</f>
        <v>n/a</v>
      </c>
    </row>
    <row r="290" spans="2:13" x14ac:dyDescent="0.25">
      <c r="B290" s="23" t="s">
        <v>105</v>
      </c>
      <c r="C290" s="56" t="s">
        <v>180</v>
      </c>
      <c r="E290" s="50" t="str">
        <f t="shared" si="7"/>
        <v>n/a</v>
      </c>
      <c r="G290" s="50" t="str">
        <f t="shared" si="7"/>
        <v>n/a</v>
      </c>
      <c r="I290" s="50" t="str">
        <f t="shared" ref="I290:K290" si="12">IF(I250="","n/a",I249*I$277+I250*I$278)</f>
        <v>n/a</v>
      </c>
      <c r="K290" s="50" t="str">
        <f t="shared" si="12"/>
        <v>n/a</v>
      </c>
      <c r="M290" s="50" t="str">
        <f t="shared" ref="M290" si="13">IF(M250="","n/a",M249*M$277+M250*M$278)</f>
        <v>n/a</v>
      </c>
    </row>
    <row r="291" spans="2:13" x14ac:dyDescent="0.25">
      <c r="B291" s="21"/>
    </row>
    <row r="292" spans="2:13" ht="13" x14ac:dyDescent="0.3">
      <c r="B292" s="5" t="s">
        <v>77</v>
      </c>
      <c r="C292" s="56"/>
    </row>
    <row r="293" spans="2:13" x14ac:dyDescent="0.25">
      <c r="B293" s="23" t="s">
        <v>117</v>
      </c>
      <c r="C293" s="56" t="s">
        <v>181</v>
      </c>
      <c r="E293" s="50" t="str">
        <f>IF(E254="","n/a",E253*E$277+E254*E$278)</f>
        <v>n/a</v>
      </c>
      <c r="G293" s="50" t="str">
        <f>IF(G254="","n/a",G253*G$277+G254*G$278)</f>
        <v>n/a</v>
      </c>
      <c r="I293" s="50" t="str">
        <f>IF(I254="","n/a",I253*I$277+I254*I$278)</f>
        <v>n/a</v>
      </c>
      <c r="K293" s="50" t="str">
        <f>IF(K254="","n/a",K253*K$277+K254*K$278)</f>
        <v>n/a</v>
      </c>
      <c r="M293" s="50" t="str">
        <f>IF(M254="","n/a",M253*M$277+M254*M$278)</f>
        <v>n/a</v>
      </c>
    </row>
    <row r="294" spans="2:13" x14ac:dyDescent="0.25">
      <c r="B294" s="23" t="s">
        <v>103</v>
      </c>
      <c r="C294" s="56" t="s">
        <v>182</v>
      </c>
      <c r="E294" s="50" t="str">
        <f t="shared" ref="E294:G296" si="14">IF(E255="","n/a",E254*E$277+E255*E$278)</f>
        <v>n/a</v>
      </c>
      <c r="G294" s="50" t="str">
        <f t="shared" si="14"/>
        <v>n/a</v>
      </c>
      <c r="I294" s="50" t="str">
        <f t="shared" ref="I294:K294" si="15">IF(I255="","n/a",I254*I$277+I255*I$278)</f>
        <v>n/a</v>
      </c>
      <c r="K294" s="50" t="str">
        <f t="shared" si="15"/>
        <v>n/a</v>
      </c>
      <c r="M294" s="50" t="str">
        <f t="shared" ref="M294" si="16">IF(M255="","n/a",M254*M$277+M255*M$278)</f>
        <v>n/a</v>
      </c>
    </row>
    <row r="295" spans="2:13" x14ac:dyDescent="0.25">
      <c r="B295" s="23" t="s">
        <v>104</v>
      </c>
      <c r="C295" s="56" t="s">
        <v>183</v>
      </c>
      <c r="E295" s="50" t="str">
        <f t="shared" si="14"/>
        <v>n/a</v>
      </c>
      <c r="G295" s="50" t="str">
        <f t="shared" si="14"/>
        <v>n/a</v>
      </c>
      <c r="I295" s="50" t="str">
        <f t="shared" ref="I295:K295" si="17">IF(I256="","n/a",I255*I$277+I256*I$278)</f>
        <v>n/a</v>
      </c>
      <c r="K295" s="50" t="str">
        <f t="shared" si="17"/>
        <v>n/a</v>
      </c>
      <c r="M295" s="50" t="str">
        <f t="shared" ref="M295" si="18">IF(M256="","n/a",M255*M$277+M256*M$278)</f>
        <v>n/a</v>
      </c>
    </row>
    <row r="296" spans="2:13" x14ac:dyDescent="0.25">
      <c r="B296" s="23" t="s">
        <v>105</v>
      </c>
      <c r="C296" s="56" t="s">
        <v>184</v>
      </c>
      <c r="E296" s="50" t="str">
        <f t="shared" si="14"/>
        <v>n/a</v>
      </c>
      <c r="G296" s="50" t="str">
        <f t="shared" si="14"/>
        <v>n/a</v>
      </c>
      <c r="I296" s="50" t="str">
        <f t="shared" ref="I296:K296" si="19">IF(I257="","n/a",I256*I$277+I257*I$278)</f>
        <v>n/a</v>
      </c>
      <c r="K296" s="50" t="str">
        <f t="shared" si="19"/>
        <v>n/a</v>
      </c>
      <c r="M296" s="50" t="str">
        <f t="shared" ref="M296" si="20">IF(M257="","n/a",M256*M$277+M257*M$278)</f>
        <v>n/a</v>
      </c>
    </row>
    <row r="297" spans="2:13" x14ac:dyDescent="0.25">
      <c r="B297" s="21"/>
      <c r="C297" s="56"/>
    </row>
    <row r="298" spans="2:13" ht="13" x14ac:dyDescent="0.3">
      <c r="B298" s="5" t="s">
        <v>79</v>
      </c>
    </row>
    <row r="299" spans="2:13" x14ac:dyDescent="0.25">
      <c r="B299" s="23" t="s">
        <v>117</v>
      </c>
      <c r="C299" s="56" t="s">
        <v>185</v>
      </c>
      <c r="E299" s="50" t="str">
        <f>IF(E261="","n/a",E260*E$277+E261*E$278)</f>
        <v>n/a</v>
      </c>
      <c r="G299" s="50" t="str">
        <f>IF(G261="","n/a",G260*G$277+G261*G$278)</f>
        <v>n/a</v>
      </c>
      <c r="I299" s="50" t="str">
        <f>IF(I261="","n/a",I260*I$277+I261*I$278)</f>
        <v>n/a</v>
      </c>
      <c r="K299" s="50" t="str">
        <f>IF(K261="","n/a",K260*K$277+K261*K$278)</f>
        <v>n/a</v>
      </c>
      <c r="M299" s="50" t="str">
        <f>IF(M261="","n/a",M260*M$277+M261*M$278)</f>
        <v>n/a</v>
      </c>
    </row>
    <row r="300" spans="2:13" x14ac:dyDescent="0.25">
      <c r="B300" s="23" t="s">
        <v>103</v>
      </c>
      <c r="C300" s="56" t="s">
        <v>186</v>
      </c>
      <c r="E300" s="50" t="str">
        <f t="shared" ref="E300:G302" si="21">IF(E262="","n/a",E261*E$277+E262*E$278)</f>
        <v>n/a</v>
      </c>
      <c r="G300" s="50" t="str">
        <f t="shared" si="21"/>
        <v>n/a</v>
      </c>
      <c r="I300" s="50" t="str">
        <f t="shared" ref="I300:K300" si="22">IF(I262="","n/a",I261*I$277+I262*I$278)</f>
        <v>n/a</v>
      </c>
      <c r="K300" s="50" t="str">
        <f t="shared" si="22"/>
        <v>n/a</v>
      </c>
      <c r="M300" s="50" t="str">
        <f t="shared" ref="M300" si="23">IF(M262="","n/a",M261*M$277+M262*M$278)</f>
        <v>n/a</v>
      </c>
    </row>
    <row r="301" spans="2:13" x14ac:dyDescent="0.25">
      <c r="B301" s="23" t="s">
        <v>104</v>
      </c>
      <c r="C301" s="56" t="s">
        <v>187</v>
      </c>
      <c r="E301" s="50" t="str">
        <f t="shared" si="21"/>
        <v>n/a</v>
      </c>
      <c r="G301" s="50" t="str">
        <f t="shared" si="21"/>
        <v>n/a</v>
      </c>
      <c r="I301" s="50" t="str">
        <f t="shared" ref="I301:K301" si="24">IF(I263="","n/a",I262*I$277+I263*I$278)</f>
        <v>n/a</v>
      </c>
      <c r="K301" s="50" t="str">
        <f t="shared" si="24"/>
        <v>n/a</v>
      </c>
      <c r="M301" s="50" t="str">
        <f t="shared" ref="M301" si="25">IF(M263="","n/a",M262*M$277+M263*M$278)</f>
        <v>n/a</v>
      </c>
    </row>
    <row r="302" spans="2:13" x14ac:dyDescent="0.25">
      <c r="B302" s="23" t="s">
        <v>105</v>
      </c>
      <c r="C302" s="56" t="s">
        <v>188</v>
      </c>
      <c r="E302" s="50" t="str">
        <f t="shared" si="21"/>
        <v>n/a</v>
      </c>
      <c r="G302" s="50" t="str">
        <f t="shared" si="21"/>
        <v>n/a</v>
      </c>
      <c r="I302" s="50" t="str">
        <f t="shared" ref="I302:K302" si="26">IF(I264="","n/a",I263*I$277+I264*I$278)</f>
        <v>n/a</v>
      </c>
      <c r="K302" s="50" t="str">
        <f t="shared" si="26"/>
        <v>n/a</v>
      </c>
      <c r="M302" s="50" t="str">
        <f t="shared" ref="M302" si="27">IF(M264="","n/a",M263*M$277+M264*M$278)</f>
        <v>n/a</v>
      </c>
    </row>
    <row r="303" spans="2:13" x14ac:dyDescent="0.25">
      <c r="B303" s="21"/>
      <c r="C303" s="56"/>
    </row>
    <row r="304" spans="2:13" ht="13" x14ac:dyDescent="0.3">
      <c r="B304" s="5" t="s">
        <v>98</v>
      </c>
    </row>
    <row r="305" spans="2:13" x14ac:dyDescent="0.25">
      <c r="B305" s="23" t="s">
        <v>117</v>
      </c>
      <c r="C305" s="56" t="s">
        <v>189</v>
      </c>
      <c r="E305" s="51" t="str">
        <f>IF(E268="","n/a",E267*E$277+E268*E$278)</f>
        <v>n/a</v>
      </c>
      <c r="G305" s="51" t="str">
        <f>IF(G268="","n/a",G267*G$277+G268*G$278)</f>
        <v>n/a</v>
      </c>
      <c r="I305" s="51" t="str">
        <f>IF(I268="","n/a",I267*I$277+I268*I$278)</f>
        <v>n/a</v>
      </c>
      <c r="K305" s="51" t="str">
        <f>IF(K268="","n/a",K267*K$277+K268*K$278)</f>
        <v>n/a</v>
      </c>
      <c r="M305" s="51" t="str">
        <f>IF(M268="","n/a",M267*M$277+M268*M$278)</f>
        <v>n/a</v>
      </c>
    </row>
    <row r="306" spans="2:13" x14ac:dyDescent="0.25">
      <c r="B306" s="23" t="s">
        <v>103</v>
      </c>
      <c r="C306" s="56" t="s">
        <v>190</v>
      </c>
      <c r="E306" s="51" t="str">
        <f t="shared" ref="E306:G308" si="28">IF(E269="","n/a",E268*E$277+E269*E$278)</f>
        <v>n/a</v>
      </c>
      <c r="G306" s="51" t="str">
        <f t="shared" si="28"/>
        <v>n/a</v>
      </c>
      <c r="I306" s="51" t="str">
        <f t="shared" ref="I306:K306" si="29">IF(I269="","n/a",I268*I$277+I269*I$278)</f>
        <v>n/a</v>
      </c>
      <c r="K306" s="51" t="str">
        <f t="shared" si="29"/>
        <v>n/a</v>
      </c>
      <c r="M306" s="51" t="str">
        <f t="shared" ref="M306" si="30">IF(M269="","n/a",M268*M$277+M269*M$278)</f>
        <v>n/a</v>
      </c>
    </row>
    <row r="307" spans="2:13" x14ac:dyDescent="0.25">
      <c r="B307" s="23" t="s">
        <v>104</v>
      </c>
      <c r="C307" s="56" t="s">
        <v>191</v>
      </c>
      <c r="E307" s="51" t="str">
        <f t="shared" si="28"/>
        <v>n/a</v>
      </c>
      <c r="G307" s="51" t="str">
        <f t="shared" si="28"/>
        <v>n/a</v>
      </c>
      <c r="I307" s="51" t="str">
        <f t="shared" ref="I307:K307" si="31">IF(I270="","n/a",I269*I$277+I270*I$278)</f>
        <v>n/a</v>
      </c>
      <c r="K307" s="51" t="str">
        <f t="shared" si="31"/>
        <v>n/a</v>
      </c>
      <c r="M307" s="51" t="str">
        <f t="shared" ref="M307" si="32">IF(M270="","n/a",M269*M$277+M270*M$278)</f>
        <v>n/a</v>
      </c>
    </row>
    <row r="308" spans="2:13" x14ac:dyDescent="0.25">
      <c r="B308" s="23" t="s">
        <v>105</v>
      </c>
      <c r="C308" s="56" t="s">
        <v>192</v>
      </c>
      <c r="E308" s="51" t="str">
        <f t="shared" si="28"/>
        <v>n/a</v>
      </c>
      <c r="G308" s="51" t="str">
        <f t="shared" si="28"/>
        <v>n/a</v>
      </c>
      <c r="I308" s="51" t="str">
        <f t="shared" ref="I308:K308" si="33">IF(I271="","n/a",I270*I$277+I271*I$278)</f>
        <v>n/a</v>
      </c>
      <c r="K308" s="51" t="str">
        <f t="shared" si="33"/>
        <v>n/a</v>
      </c>
      <c r="M308" s="51" t="str">
        <f t="shared" ref="M308" si="34">IF(M271="","n/a",M270*M$277+M271*M$278)</f>
        <v>n/a</v>
      </c>
    </row>
    <row r="309" spans="2:13" x14ac:dyDescent="0.25">
      <c r="C309" s="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56093-E1C3-4A91-8E30-81CA339A96E2}">
  <sheetPr>
    <tabColor theme="5" tint="-0.249977111117893"/>
  </sheetPr>
  <dimension ref="A1:AN22"/>
  <sheetViews>
    <sheetView showGridLines="0" zoomScale="105" zoomScaleNormal="105" workbookViewId="0"/>
  </sheetViews>
  <sheetFormatPr defaultRowHeight="12.5" outlineLevelRow="1" outlineLevelCol="1" x14ac:dyDescent="0.25"/>
  <cols>
    <col min="1" max="1" width="0.7265625" customWidth="1"/>
    <col min="3" max="3" width="16.36328125" bestFit="1" customWidth="1"/>
    <col min="4" max="4" width="0.7265625" customWidth="1"/>
    <col min="5" max="6" width="11.36328125" bestFit="1" customWidth="1"/>
    <col min="7" max="7" width="10.6328125" customWidth="1"/>
    <col min="8" max="8" width="12.08984375" customWidth="1" outlineLevel="1"/>
    <col min="9" max="9" width="0.7265625" customWidth="1" outlineLevel="1"/>
    <col min="10" max="13" width="10.7265625" customWidth="1" outlineLevel="1"/>
    <col min="14" max="14" width="2.26953125" customWidth="1" outlineLevel="1"/>
    <col min="15" max="15" width="10.7265625" customWidth="1" outlineLevel="1"/>
    <col min="16" max="16" width="2.26953125" customWidth="1" outlineLevel="1"/>
    <col min="17" max="20" width="10.7265625" customWidth="1" outlineLevel="1"/>
    <col min="21" max="21" width="2.26953125" customWidth="1" outlineLevel="1"/>
    <col min="22" max="22" width="10.7265625" customWidth="1" outlineLevel="1"/>
    <col min="23" max="23" width="2.26953125" customWidth="1" outlineLevel="1"/>
    <col min="24" max="27" width="10.7265625" customWidth="1"/>
    <col min="28" max="28" width="2.26953125" customWidth="1"/>
    <col min="29" max="32" width="10.7265625" customWidth="1"/>
    <col min="33" max="33" width="2.26953125" customWidth="1"/>
    <col min="34" max="34" width="10.7265625" customWidth="1"/>
    <col min="35" max="35" width="2.26953125" customWidth="1"/>
    <col min="36" max="39" width="10.7265625" customWidth="1"/>
    <col min="40" max="40" width="0.7265625" customWidth="1"/>
  </cols>
  <sheetData>
    <row r="1" spans="1:40" outlineLevel="1" x14ac:dyDescent="0.25">
      <c r="C1" s="108"/>
      <c r="D1" s="55"/>
      <c r="E1" s="108"/>
      <c r="F1" s="108"/>
      <c r="G1" s="108"/>
      <c r="H1" s="108"/>
      <c r="J1" s="108"/>
      <c r="K1" s="108"/>
      <c r="L1" s="108"/>
      <c r="M1" s="108"/>
      <c r="Q1" s="108"/>
      <c r="R1" s="108"/>
      <c r="S1" s="108"/>
      <c r="T1" s="108"/>
      <c r="AC1" s="108"/>
      <c r="AD1" s="108"/>
      <c r="AE1" s="108"/>
      <c r="AF1" s="108"/>
    </row>
    <row r="2" spans="1:40" ht="18" x14ac:dyDescent="0.4">
      <c r="A2" s="3" t="s">
        <v>202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ht="13" x14ac:dyDescent="0.3">
      <c r="A3" s="4" t="s">
        <v>3</v>
      </c>
    </row>
    <row r="5" spans="1:40" s="5" customFormat="1" ht="16" x14ac:dyDescent="0.6">
      <c r="E5" s="58" t="s">
        <v>126</v>
      </c>
      <c r="F5" s="58" t="s">
        <v>128</v>
      </c>
      <c r="H5" s="58" t="s">
        <v>205</v>
      </c>
      <c r="J5" s="59" t="s">
        <v>66</v>
      </c>
      <c r="K5" s="59"/>
      <c r="L5" s="59"/>
      <c r="M5" s="59"/>
      <c r="O5" s="91" t="s">
        <v>207</v>
      </c>
      <c r="Q5" s="59" t="s">
        <v>78</v>
      </c>
      <c r="R5" s="59"/>
      <c r="S5" s="59"/>
      <c r="T5" s="59"/>
      <c r="V5" s="91" t="s">
        <v>207</v>
      </c>
      <c r="X5" s="59" t="s">
        <v>131</v>
      </c>
      <c r="Y5" s="59"/>
      <c r="Z5" s="59"/>
      <c r="AA5" s="59"/>
      <c r="AC5" s="59" t="s">
        <v>79</v>
      </c>
      <c r="AD5" s="59"/>
      <c r="AE5" s="59"/>
      <c r="AF5" s="59"/>
      <c r="AH5" s="91" t="s">
        <v>207</v>
      </c>
      <c r="AJ5" s="59" t="s">
        <v>197</v>
      </c>
      <c r="AK5" s="59"/>
      <c r="AL5" s="59"/>
      <c r="AM5" s="59"/>
    </row>
    <row r="6" spans="1:40" s="5" customFormat="1" ht="13" x14ac:dyDescent="0.3">
      <c r="B6" s="17" t="s">
        <v>4</v>
      </c>
      <c r="C6" s="17" t="s">
        <v>124</v>
      </c>
      <c r="D6" s="17"/>
      <c r="E6" s="60" t="s">
        <v>127</v>
      </c>
      <c r="F6" s="60" t="s">
        <v>129</v>
      </c>
      <c r="G6" s="60" t="s">
        <v>125</v>
      </c>
      <c r="H6" s="60" t="s">
        <v>206</v>
      </c>
      <c r="I6" s="17"/>
      <c r="J6" s="61">
        <f>+'Input Tab'!C6</f>
        <v>45291</v>
      </c>
      <c r="K6" s="80" t="s">
        <v>130</v>
      </c>
      <c r="L6" s="62">
        <f>+EOMONTH(J6,12)</f>
        <v>45657</v>
      </c>
      <c r="M6" s="62">
        <f>+EOMONTH(L6,12)</f>
        <v>46022</v>
      </c>
      <c r="N6" s="17"/>
      <c r="O6" s="60" t="str">
        <f>"'"&amp;RIGHT(YEAR(J6),2)&amp;"A-'"&amp;RIGHT(YEAR(M6),2)&amp;"E"</f>
        <v>'23A-'25E</v>
      </c>
      <c r="P6" s="17"/>
      <c r="Q6" s="63">
        <f>+J6</f>
        <v>45291</v>
      </c>
      <c r="R6" s="63" t="str">
        <f>+K6</f>
        <v>LTM</v>
      </c>
      <c r="S6" s="64">
        <f>+L6</f>
        <v>45657</v>
      </c>
      <c r="T6" s="64">
        <f>+M6</f>
        <v>46022</v>
      </c>
      <c r="U6" s="17"/>
      <c r="V6" s="60" t="str">
        <f>"'"&amp;RIGHT(YEAR(Q6),2)&amp;"A-'"&amp;RIGHT(YEAR(T6),2)&amp;"E"</f>
        <v>'23A-'25E</v>
      </c>
      <c r="W6" s="17"/>
      <c r="X6" s="63">
        <f>+Q6</f>
        <v>45291</v>
      </c>
      <c r="Y6" s="63" t="str">
        <f>+R6</f>
        <v>LTM</v>
      </c>
      <c r="Z6" s="64">
        <f t="shared" ref="Z6" si="0">+S6</f>
        <v>45657</v>
      </c>
      <c r="AA6" s="64">
        <f t="shared" ref="AA6" si="1">+T6</f>
        <v>46022</v>
      </c>
      <c r="AB6" s="17"/>
      <c r="AC6" s="63">
        <f>+Q6</f>
        <v>45291</v>
      </c>
      <c r="AD6" s="63" t="str">
        <f>+Y6</f>
        <v>LTM</v>
      </c>
      <c r="AE6" s="64">
        <f t="shared" ref="AE6" si="2">+S6</f>
        <v>45657</v>
      </c>
      <c r="AF6" s="64">
        <f t="shared" ref="AF6" si="3">+T6</f>
        <v>46022</v>
      </c>
      <c r="AG6" s="17"/>
      <c r="AH6" s="60" t="str">
        <f>"'"&amp;RIGHT(YEAR(AC6),2)&amp;"A-'"&amp;RIGHT(YEAR(AF6),2)&amp;"E"</f>
        <v>'23A-'25E</v>
      </c>
      <c r="AI6" s="17"/>
      <c r="AJ6" s="63">
        <f>+AC6</f>
        <v>45291</v>
      </c>
      <c r="AK6" s="63" t="str">
        <f>+AD6</f>
        <v>LTM</v>
      </c>
      <c r="AL6" s="64">
        <f t="shared" ref="AL6" si="4">+AE6</f>
        <v>45657</v>
      </c>
      <c r="AM6" s="64">
        <f t="shared" ref="AM6" si="5">+AF6</f>
        <v>46022</v>
      </c>
      <c r="AN6" s="65"/>
    </row>
    <row r="7" spans="1:40" ht="6" customHeight="1" x14ac:dyDescent="0.25">
      <c r="AN7" s="57"/>
    </row>
    <row r="8" spans="1:40" ht="13.25" customHeight="1" x14ac:dyDescent="0.3">
      <c r="B8" s="108"/>
      <c r="E8" s="68"/>
      <c r="F8" s="68"/>
      <c r="G8" s="66"/>
      <c r="H8" s="90"/>
      <c r="J8" s="68"/>
      <c r="K8" s="68"/>
      <c r="L8" s="68"/>
      <c r="M8" s="68"/>
      <c r="O8" s="96"/>
      <c r="Q8" s="68"/>
      <c r="R8" s="68"/>
      <c r="S8" s="68"/>
      <c r="T8" s="68"/>
      <c r="V8" s="96"/>
      <c r="X8" s="19"/>
      <c r="Y8" s="19"/>
      <c r="Z8" s="19"/>
      <c r="AA8" s="19"/>
      <c r="AC8" s="68"/>
      <c r="AD8" s="68"/>
      <c r="AE8" s="68"/>
      <c r="AF8" s="68"/>
      <c r="AH8" s="96"/>
      <c r="AJ8" s="31"/>
      <c r="AK8" s="31"/>
      <c r="AL8" s="31"/>
      <c r="AM8" s="31"/>
    </row>
    <row r="9" spans="1:40" ht="13" x14ac:dyDescent="0.3">
      <c r="B9" s="108"/>
      <c r="E9" s="67"/>
      <c r="F9" s="67"/>
      <c r="G9" s="69"/>
      <c r="H9" s="90"/>
      <c r="J9" s="67"/>
      <c r="K9" s="67"/>
      <c r="L9" s="67"/>
      <c r="M9" s="67"/>
      <c r="O9" s="96"/>
      <c r="Q9" s="67"/>
      <c r="R9" s="67"/>
      <c r="S9" s="67"/>
      <c r="T9" s="67"/>
      <c r="V9" s="96"/>
      <c r="X9" s="19"/>
      <c r="Y9" s="19"/>
      <c r="Z9" s="19"/>
      <c r="AA9" s="19"/>
      <c r="AC9" s="67"/>
      <c r="AD9" s="67"/>
      <c r="AE9" s="67"/>
      <c r="AF9" s="67"/>
      <c r="AH9" s="96"/>
      <c r="AJ9" s="31"/>
      <c r="AK9" s="31"/>
      <c r="AL9" s="31"/>
      <c r="AM9" s="31"/>
    </row>
    <row r="10" spans="1:40" ht="13" x14ac:dyDescent="0.3">
      <c r="B10" s="108"/>
      <c r="E10" s="67"/>
      <c r="F10" s="67"/>
      <c r="G10" s="69"/>
      <c r="H10" s="90"/>
      <c r="J10" s="67"/>
      <c r="K10" s="67"/>
      <c r="L10" s="67"/>
      <c r="M10" s="67"/>
      <c r="O10" s="96"/>
      <c r="Q10" s="67"/>
      <c r="R10" s="67"/>
      <c r="S10" s="67"/>
      <c r="T10" s="67"/>
      <c r="V10" s="96"/>
      <c r="X10" s="19"/>
      <c r="Y10" s="19"/>
      <c r="Z10" s="19"/>
      <c r="AA10" s="19"/>
      <c r="AC10" s="67"/>
      <c r="AD10" s="67"/>
      <c r="AE10" s="67"/>
      <c r="AF10" s="67"/>
      <c r="AH10" s="96"/>
      <c r="AJ10" s="31"/>
      <c r="AK10" s="31"/>
      <c r="AL10" s="31"/>
      <c r="AM10" s="31"/>
    </row>
    <row r="11" spans="1:40" ht="13" x14ac:dyDescent="0.3">
      <c r="B11" s="108"/>
      <c r="E11" s="67"/>
      <c r="F11" s="67"/>
      <c r="G11" s="69"/>
      <c r="H11" s="90"/>
      <c r="J11" s="67"/>
      <c r="K11" s="67"/>
      <c r="L11" s="67"/>
      <c r="M11" s="67"/>
      <c r="O11" s="96"/>
      <c r="Q11" s="67"/>
      <c r="R11" s="67"/>
      <c r="S11" s="67"/>
      <c r="T11" s="67"/>
      <c r="V11" s="96"/>
      <c r="X11" s="19"/>
      <c r="Y11" s="19"/>
      <c r="Z11" s="19"/>
      <c r="AA11" s="19"/>
      <c r="AC11" s="67"/>
      <c r="AD11" s="67"/>
      <c r="AE11" s="67"/>
      <c r="AF11" s="67"/>
      <c r="AH11" s="96"/>
      <c r="AJ11" s="31"/>
      <c r="AK11" s="31"/>
      <c r="AL11" s="31"/>
      <c r="AM11" s="31"/>
    </row>
    <row r="12" spans="1:40" ht="6" customHeight="1" x14ac:dyDescent="0.25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</row>
    <row r="13" spans="1:40" s="70" customFormat="1" ht="15" customHeight="1" x14ac:dyDescent="0.25">
      <c r="B13" s="75" t="s">
        <v>196</v>
      </c>
      <c r="C13" s="76"/>
      <c r="D13" s="76"/>
      <c r="E13" s="76"/>
      <c r="F13" s="76"/>
      <c r="G13" s="76"/>
      <c r="H13" s="83" t="e">
        <f>+AVERAGE(H8:H11)</f>
        <v>#DIV/0!</v>
      </c>
      <c r="I13" s="76"/>
      <c r="J13" s="77"/>
      <c r="K13" s="77"/>
      <c r="L13" s="76"/>
      <c r="M13" s="76"/>
      <c r="N13" s="76"/>
      <c r="O13" s="92" t="e">
        <f>+AVERAGE(O8:O11)</f>
        <v>#DIV/0!</v>
      </c>
      <c r="P13" s="76"/>
      <c r="Q13" s="76"/>
      <c r="R13" s="76"/>
      <c r="S13" s="76"/>
      <c r="T13" s="76"/>
      <c r="U13" s="76"/>
      <c r="V13" s="92" t="e">
        <f>+AVERAGE(V8:V11)</f>
        <v>#DIV/0!</v>
      </c>
      <c r="W13" s="76"/>
      <c r="X13" s="92" t="e">
        <f>+AVERAGE(X8:X11)</f>
        <v>#DIV/0!</v>
      </c>
      <c r="Y13" s="92" t="e">
        <f>+AVERAGE(Y8:Y11)</f>
        <v>#DIV/0!</v>
      </c>
      <c r="Z13" s="92" t="e">
        <f t="shared" ref="Z13:AA13" si="6">+AVERAGE(Z8:Z11)</f>
        <v>#DIV/0!</v>
      </c>
      <c r="AA13" s="92" t="e">
        <f t="shared" si="6"/>
        <v>#DIV/0!</v>
      </c>
      <c r="AB13" s="76"/>
      <c r="AC13" s="76"/>
      <c r="AD13" s="76"/>
      <c r="AE13" s="76"/>
      <c r="AF13" s="76"/>
      <c r="AG13" s="76"/>
      <c r="AH13" s="92" t="e">
        <f>+AVERAGE(AH8:AH11)</f>
        <v>#DIV/0!</v>
      </c>
      <c r="AI13" s="76"/>
      <c r="AJ13" s="92" t="e">
        <f>+AVERAGE(AJ8:AJ11)</f>
        <v>#DIV/0!</v>
      </c>
      <c r="AK13" s="92" t="e">
        <f>+AVERAGE(AK8:AK11)</f>
        <v>#DIV/0!</v>
      </c>
      <c r="AL13" s="92" t="e">
        <f t="shared" ref="AL13:AM13" si="7">+AVERAGE(AL8:AL11)</f>
        <v>#DIV/0!</v>
      </c>
      <c r="AM13" s="92" t="e">
        <f t="shared" si="7"/>
        <v>#DIV/0!</v>
      </c>
      <c r="AN13" s="76"/>
    </row>
    <row r="14" spans="1:40" s="70" customFormat="1" ht="15" customHeight="1" x14ac:dyDescent="0.25">
      <c r="B14" s="75" t="s">
        <v>195</v>
      </c>
      <c r="C14" s="76"/>
      <c r="D14" s="76"/>
      <c r="E14" s="76"/>
      <c r="F14" s="76"/>
      <c r="G14" s="76"/>
      <c r="H14" s="83" t="e">
        <f>+MEDIAN(H8:H11)</f>
        <v>#NUM!</v>
      </c>
      <c r="I14" s="76"/>
      <c r="J14" s="76"/>
      <c r="K14" s="76"/>
      <c r="L14" s="76"/>
      <c r="M14" s="76"/>
      <c r="N14" s="76"/>
      <c r="O14" s="92" t="e">
        <f>+MEDIAN(O8:O11)</f>
        <v>#NUM!</v>
      </c>
      <c r="P14" s="76"/>
      <c r="Q14" s="76"/>
      <c r="R14" s="76"/>
      <c r="S14" s="76"/>
      <c r="T14" s="76"/>
      <c r="U14" s="76"/>
      <c r="V14" s="92" t="e">
        <f>+MEDIAN(V8:V11)</f>
        <v>#NUM!</v>
      </c>
      <c r="W14" s="76"/>
      <c r="X14" s="92" t="e">
        <f>+MEDIAN(X8:X11)</f>
        <v>#NUM!</v>
      </c>
      <c r="Y14" s="92" t="e">
        <f>+MEDIAN(Y8:Y11)</f>
        <v>#NUM!</v>
      </c>
      <c r="Z14" s="92" t="e">
        <f t="shared" ref="Z14:AA14" si="8">+MEDIAN(Z8:Z11)</f>
        <v>#NUM!</v>
      </c>
      <c r="AA14" s="92" t="e">
        <f t="shared" si="8"/>
        <v>#NUM!</v>
      </c>
      <c r="AB14" s="76"/>
      <c r="AC14" s="76"/>
      <c r="AD14" s="76"/>
      <c r="AE14" s="76"/>
      <c r="AF14" s="76"/>
      <c r="AG14" s="76"/>
      <c r="AH14" s="92" t="e">
        <f>+MEDIAN(AH8:AH11)</f>
        <v>#NUM!</v>
      </c>
      <c r="AI14" s="76"/>
      <c r="AJ14" s="92" t="e">
        <f>+MEDIAN(AJ8:AJ11)</f>
        <v>#NUM!</v>
      </c>
      <c r="AK14" s="92" t="e">
        <f>+MEDIAN(AK8:AK11)</f>
        <v>#NUM!</v>
      </c>
      <c r="AL14" s="92" t="e">
        <f t="shared" ref="AL14:AM14" si="9">+MEDIAN(AL8:AL11)</f>
        <v>#NUM!</v>
      </c>
      <c r="AM14" s="92" t="e">
        <f t="shared" si="9"/>
        <v>#NUM!</v>
      </c>
      <c r="AN14" s="76"/>
    </row>
    <row r="15" spans="1:40" s="70" customFormat="1" ht="15" customHeight="1" x14ac:dyDescent="0.25">
      <c r="B15" s="75" t="s">
        <v>194</v>
      </c>
      <c r="C15" s="76"/>
      <c r="D15" s="76"/>
      <c r="E15" s="76"/>
      <c r="F15" s="76"/>
      <c r="G15" s="76"/>
      <c r="H15" s="83">
        <f>+MAX(H8:H11)</f>
        <v>0</v>
      </c>
      <c r="I15" s="76"/>
      <c r="J15" s="76"/>
      <c r="K15" s="76"/>
      <c r="L15" s="76"/>
      <c r="M15" s="76"/>
      <c r="N15" s="76"/>
      <c r="O15" s="92">
        <f>+MAX(O8:O11)</f>
        <v>0</v>
      </c>
      <c r="P15" s="76"/>
      <c r="Q15" s="76"/>
      <c r="R15" s="76"/>
      <c r="S15" s="76"/>
      <c r="T15" s="76"/>
      <c r="U15" s="76"/>
      <c r="V15" s="92">
        <f>+MAX(V8:V11)</f>
        <v>0</v>
      </c>
      <c r="W15" s="76"/>
      <c r="X15" s="92">
        <f>+MAX(X8:X11)</f>
        <v>0</v>
      </c>
      <c r="Y15" s="92">
        <f>+MAX(Y8:Y11)</f>
        <v>0</v>
      </c>
      <c r="Z15" s="92">
        <f t="shared" ref="Z15:AA15" si="10">+MAX(Z8:Z11)</f>
        <v>0</v>
      </c>
      <c r="AA15" s="92">
        <f t="shared" si="10"/>
        <v>0</v>
      </c>
      <c r="AB15" s="76"/>
      <c r="AC15" s="76"/>
      <c r="AD15" s="76"/>
      <c r="AE15" s="76"/>
      <c r="AF15" s="76"/>
      <c r="AG15" s="76"/>
      <c r="AH15" s="92">
        <f>+MAX(AH8:AH11)</f>
        <v>0</v>
      </c>
      <c r="AI15" s="76"/>
      <c r="AJ15" s="92">
        <f>+MAX(AJ8:AJ11)</f>
        <v>0</v>
      </c>
      <c r="AK15" s="92">
        <f>+MAX(AK8:AK11)</f>
        <v>0</v>
      </c>
      <c r="AL15" s="92">
        <f t="shared" ref="AL15:AM15" si="11">+MAX(AL8:AL11)</f>
        <v>0</v>
      </c>
      <c r="AM15" s="92">
        <f t="shared" si="11"/>
        <v>0</v>
      </c>
      <c r="AN15" s="76"/>
    </row>
    <row r="16" spans="1:40" s="70" customFormat="1" ht="15" customHeight="1" x14ac:dyDescent="0.25">
      <c r="B16" s="78" t="s">
        <v>193</v>
      </c>
      <c r="C16" s="79"/>
      <c r="D16" s="79"/>
      <c r="E16" s="79"/>
      <c r="F16" s="79"/>
      <c r="G16" s="79"/>
      <c r="H16" s="84">
        <f>+MIN(H8:H11)</f>
        <v>0</v>
      </c>
      <c r="I16" s="79"/>
      <c r="J16" s="79"/>
      <c r="K16" s="79"/>
      <c r="L16" s="79"/>
      <c r="M16" s="79"/>
      <c r="N16" s="79"/>
      <c r="O16" s="93">
        <f>+MIN(O8:O11)</f>
        <v>0</v>
      </c>
      <c r="P16" s="79"/>
      <c r="Q16" s="79"/>
      <c r="R16" s="79"/>
      <c r="S16" s="79"/>
      <c r="T16" s="79"/>
      <c r="U16" s="79"/>
      <c r="V16" s="93">
        <f>+MIN(V8:V11)</f>
        <v>0</v>
      </c>
      <c r="W16" s="79"/>
      <c r="X16" s="93">
        <f>+MIN(X8:X11)</f>
        <v>0</v>
      </c>
      <c r="Y16" s="93">
        <f>+MIN(Y8:Y11)</f>
        <v>0</v>
      </c>
      <c r="Z16" s="93">
        <f t="shared" ref="Z16:AA16" si="12">+MIN(Z8:Z11)</f>
        <v>0</v>
      </c>
      <c r="AA16" s="93">
        <f t="shared" si="12"/>
        <v>0</v>
      </c>
      <c r="AB16" s="79"/>
      <c r="AC16" s="79"/>
      <c r="AD16" s="79"/>
      <c r="AE16" s="79"/>
      <c r="AF16" s="79"/>
      <c r="AG16" s="79"/>
      <c r="AH16" s="93">
        <f>+MIN(AH8:AH11)</f>
        <v>0</v>
      </c>
      <c r="AI16" s="79"/>
      <c r="AJ16" s="93">
        <f>+MIN(AJ8:AJ11)</f>
        <v>0</v>
      </c>
      <c r="AK16" s="93">
        <f>+MIN(AK8:AK11)</f>
        <v>0</v>
      </c>
      <c r="AL16" s="93">
        <f t="shared" ref="AL16:AM16" si="13">+MIN(AL8:AL11)</f>
        <v>0</v>
      </c>
      <c r="AM16" s="93">
        <f t="shared" si="13"/>
        <v>0</v>
      </c>
      <c r="AN16" s="79"/>
    </row>
    <row r="18" spans="2:40" s="70" customFormat="1" ht="25.15" customHeight="1" x14ac:dyDescent="0.25">
      <c r="B18" s="71"/>
      <c r="C18" s="72" t="e">
        <f>+HLOOKUP($B18,INPUTS,MATCH(C$1,METRICS,0),FALSE)</f>
        <v>#N/A</v>
      </c>
      <c r="D18" s="72"/>
      <c r="E18" s="74" t="e">
        <f>+HLOOKUP($B18,INPUTS,MATCH(E$1,METRICS,0),FALSE)</f>
        <v>#N/A</v>
      </c>
      <c r="F18" s="74" t="e">
        <f>+HLOOKUP($B18,INPUTS,MATCH(F$1,METRICS,0),FALSE)</f>
        <v>#N/A</v>
      </c>
      <c r="G18" s="73" t="e">
        <f>+HLOOKUP($B18,INPUTS,MATCH(G$1,METRICS,0),FALSE)</f>
        <v>#N/A</v>
      </c>
      <c r="H18" s="86" t="e">
        <f>+HLOOKUP($B18,INPUTS,MATCH(H$1,METRICS,0),FALSE)/R18</f>
        <v>#N/A</v>
      </c>
      <c r="I18" s="72"/>
      <c r="J18" s="74" t="e">
        <f>+HLOOKUP($B18,INPUTS,MATCH(J$1,METRICS,0),FALSE)</f>
        <v>#N/A</v>
      </c>
      <c r="K18" s="74" t="e">
        <f>+HLOOKUP($B18,INPUTS,MATCH(K$1,METRICS,0),FALSE)</f>
        <v>#N/A</v>
      </c>
      <c r="L18" s="74" t="e">
        <f>+HLOOKUP($B18,INPUTS,MATCH(L$1,METRICS,0),FALSE)</f>
        <v>#N/A</v>
      </c>
      <c r="M18" s="74" t="e">
        <f>+HLOOKUP($B18,INPUTS,MATCH(M$1,METRICS,0),FALSE)</f>
        <v>#N/A</v>
      </c>
      <c r="N18" s="72"/>
      <c r="O18" s="94" t="e">
        <f t="shared" ref="O18" si="14">+(M18/J18)^(1/(YEAR(M$6)-YEAR(J$6)))-1</f>
        <v>#N/A</v>
      </c>
      <c r="P18" s="72"/>
      <c r="Q18" s="74" t="e">
        <f>+HLOOKUP($B18,INPUTS,MATCH(Q$1,METRICS,0),FALSE)</f>
        <v>#N/A</v>
      </c>
      <c r="R18" s="74" t="e">
        <f>+HLOOKUP($B18,INPUTS,MATCH(R$1,METRICS,0),FALSE)</f>
        <v>#N/A</v>
      </c>
      <c r="S18" s="74" t="e">
        <f>+HLOOKUP($B18,INPUTS,MATCH(S$1,METRICS,0),FALSE)</f>
        <v>#N/A</v>
      </c>
      <c r="T18" s="74" t="e">
        <f>+HLOOKUP($B18,INPUTS,MATCH(T$1,METRICS,0),FALSE)</f>
        <v>#N/A</v>
      </c>
      <c r="U18" s="72"/>
      <c r="V18" s="94" t="e">
        <f t="shared" ref="V18" si="15">+(T18/Q18)^(1/(YEAR(T$6)-YEAR(Q$6)))-1</f>
        <v>#N/A</v>
      </c>
      <c r="W18" s="72"/>
      <c r="X18" s="94" t="e">
        <f>+Q18/J18</f>
        <v>#N/A</v>
      </c>
      <c r="Y18" s="94" t="e">
        <f>+R18/K18</f>
        <v>#N/A</v>
      </c>
      <c r="Z18" s="94" t="e">
        <f t="shared" ref="Z18" si="16">+S18/L18</f>
        <v>#N/A</v>
      </c>
      <c r="AA18" s="94" t="e">
        <f t="shared" ref="AA18" si="17">+T18/M18</f>
        <v>#N/A</v>
      </c>
      <c r="AB18" s="72"/>
      <c r="AC18" s="74" t="e">
        <f>+HLOOKUP($B18,INPUTS,MATCH(AC$1,METRICS,0),FALSE)</f>
        <v>#N/A</v>
      </c>
      <c r="AD18" s="74" t="e">
        <f>+HLOOKUP($B18,INPUTS,MATCH(AD$1,METRICS,0),FALSE)</f>
        <v>#N/A</v>
      </c>
      <c r="AE18" s="74" t="e">
        <f>+HLOOKUP($B18,INPUTS,MATCH(AE$1,METRICS,0),FALSE)</f>
        <v>#N/A</v>
      </c>
      <c r="AF18" s="74" t="e">
        <f>+HLOOKUP($B18,INPUTS,MATCH(AF$1,METRICS,0),FALSE)</f>
        <v>#N/A</v>
      </c>
      <c r="AG18" s="72"/>
      <c r="AH18" s="94" t="e">
        <f t="shared" ref="AH18" si="18">+(AF18/AC18)^(1/(YEAR(AF$6)-YEAR(AC$6)))-1</f>
        <v>#N/A</v>
      </c>
      <c r="AI18" s="72"/>
      <c r="AJ18" s="94" t="e">
        <f>+AC18/J18</f>
        <v>#N/A</v>
      </c>
      <c r="AK18" s="94" t="e">
        <f>+AD18/K18</f>
        <v>#N/A</v>
      </c>
      <c r="AL18" s="94" t="e">
        <f t="shared" ref="AL18" si="19">+AE18/L18</f>
        <v>#N/A</v>
      </c>
      <c r="AM18" s="94" t="e">
        <f t="shared" ref="AM18" si="20">+AF18/M18</f>
        <v>#N/A</v>
      </c>
      <c r="AN18" s="72"/>
    </row>
    <row r="22" spans="2:40" x14ac:dyDescent="0.25">
      <c r="O22" s="95"/>
      <c r="V22" s="95"/>
      <c r="AH22" s="9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8F2B-C7C7-4458-8FF0-F6E7A4644BA5}">
  <sheetPr>
    <tabColor theme="5" tint="-0.249977111117893"/>
  </sheetPr>
  <dimension ref="A1:W45"/>
  <sheetViews>
    <sheetView showGridLines="0" zoomScaleNormal="100" workbookViewId="0"/>
  </sheetViews>
  <sheetFormatPr defaultRowHeight="12.5" outlineLevelRow="1" x14ac:dyDescent="0.25"/>
  <cols>
    <col min="1" max="1" width="0.7265625" customWidth="1"/>
    <col min="3" max="3" width="16.36328125" bestFit="1" customWidth="1"/>
    <col min="4" max="4" width="0.7265625" customWidth="1"/>
    <col min="5" max="6" width="11.36328125" bestFit="1" customWidth="1"/>
    <col min="7" max="7" width="10.6328125" customWidth="1"/>
    <col min="8" max="8" width="0.7265625" customWidth="1"/>
    <col min="9" max="11" width="10.7265625" customWidth="1"/>
    <col min="12" max="12" width="2.26953125" customWidth="1"/>
    <col min="13" max="15" width="10.7265625" customWidth="1"/>
    <col min="16" max="16" width="2.26953125" customWidth="1"/>
    <col min="17" max="19" width="10.7265625" customWidth="1"/>
    <col min="20" max="20" width="0.7265625" customWidth="1"/>
    <col min="21" max="21" width="2.26953125" customWidth="1"/>
    <col min="22" max="22" width="12.7265625" customWidth="1"/>
  </cols>
  <sheetData>
    <row r="1" spans="1:23" outlineLevel="1" x14ac:dyDescent="0.25">
      <c r="C1" s="55"/>
      <c r="D1" s="55"/>
      <c r="E1" s="55"/>
      <c r="F1" s="55"/>
      <c r="G1" s="55"/>
      <c r="I1" s="55"/>
      <c r="J1" s="55"/>
      <c r="K1" s="55"/>
      <c r="M1" s="55"/>
      <c r="N1" s="55"/>
      <c r="O1" s="55"/>
      <c r="V1" s="108"/>
    </row>
    <row r="2" spans="1:23" ht="18" x14ac:dyDescent="0.4">
      <c r="A2" s="3" t="s">
        <v>203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ht="13" x14ac:dyDescent="0.3">
      <c r="A3" s="4" t="s">
        <v>3</v>
      </c>
    </row>
    <row r="5" spans="1:23" s="5" customFormat="1" ht="16" x14ac:dyDescent="0.6">
      <c r="E5" s="58" t="s">
        <v>126</v>
      </c>
      <c r="F5" s="58" t="s">
        <v>128</v>
      </c>
      <c r="I5" s="59" t="s">
        <v>199</v>
      </c>
      <c r="J5" s="59"/>
      <c r="K5" s="59"/>
      <c r="M5" s="59" t="s">
        <v>198</v>
      </c>
      <c r="N5" s="59"/>
      <c r="O5" s="59"/>
      <c r="Q5" s="59" t="s">
        <v>200</v>
      </c>
      <c r="R5" s="59"/>
      <c r="S5" s="59"/>
      <c r="V5" s="59" t="s">
        <v>201</v>
      </c>
      <c r="W5" s="59"/>
    </row>
    <row r="6" spans="1:23" s="5" customFormat="1" ht="13" x14ac:dyDescent="0.3">
      <c r="B6" s="17" t="s">
        <v>4</v>
      </c>
      <c r="C6" s="17" t="s">
        <v>124</v>
      </c>
      <c r="D6" s="17"/>
      <c r="E6" s="60" t="s">
        <v>127</v>
      </c>
      <c r="F6" s="60" t="s">
        <v>129</v>
      </c>
      <c r="G6" s="60" t="s">
        <v>125</v>
      </c>
      <c r="H6" s="17"/>
      <c r="I6" s="80" t="s">
        <v>130</v>
      </c>
      <c r="J6" s="81">
        <f>+'Operating Metrics'!L6</f>
        <v>45657</v>
      </c>
      <c r="K6" s="62">
        <f>+EOMONTH(J6,12)</f>
        <v>46022</v>
      </c>
      <c r="L6" s="17"/>
      <c r="M6" s="63" t="str">
        <f>+I6</f>
        <v>LTM</v>
      </c>
      <c r="N6" s="64">
        <f t="shared" ref="N6:O6" si="0">+J6</f>
        <v>45657</v>
      </c>
      <c r="O6" s="64">
        <f t="shared" si="0"/>
        <v>46022</v>
      </c>
      <c r="P6" s="17"/>
      <c r="Q6" s="63" t="str">
        <f>+M6</f>
        <v>LTM</v>
      </c>
      <c r="R6" s="64">
        <f t="shared" ref="R6:S6" si="1">+N6</f>
        <v>45657</v>
      </c>
      <c r="S6" s="64">
        <f t="shared" si="1"/>
        <v>46022</v>
      </c>
      <c r="T6" s="65"/>
      <c r="V6" s="17" t="s">
        <v>204</v>
      </c>
      <c r="W6" s="17" t="s">
        <v>208</v>
      </c>
    </row>
    <row r="7" spans="1:23" ht="6" customHeight="1" x14ac:dyDescent="0.25">
      <c r="T7" s="57"/>
    </row>
    <row r="8" spans="1:23" ht="13.25" customHeight="1" x14ac:dyDescent="0.25">
      <c r="B8" s="108"/>
      <c r="E8" s="68"/>
      <c r="F8" s="68"/>
      <c r="G8" s="66"/>
      <c r="I8" s="82"/>
      <c r="J8" s="82"/>
      <c r="K8" s="82"/>
      <c r="M8" s="82"/>
      <c r="N8" s="82"/>
      <c r="O8" s="82"/>
      <c r="Q8" s="82"/>
      <c r="R8" s="82"/>
      <c r="S8" s="82"/>
      <c r="V8" s="66" t="e">
        <f t="shared" ref="V8:V11" si="2">+HLOOKUP($B8,INPUTS,MATCH(V$1,METRICS,0),FALSE)</f>
        <v>#N/A</v>
      </c>
      <c r="W8" s="82" t="e">
        <f>+G8/V8</f>
        <v>#N/A</v>
      </c>
    </row>
    <row r="9" spans="1:23" x14ac:dyDescent="0.25">
      <c r="B9" s="108"/>
      <c r="E9" s="67"/>
      <c r="F9" s="67"/>
      <c r="G9" s="69"/>
      <c r="I9" s="82"/>
      <c r="J9" s="82"/>
      <c r="K9" s="82"/>
      <c r="M9" s="82"/>
      <c r="N9" s="82"/>
      <c r="O9" s="82"/>
      <c r="Q9" s="82"/>
      <c r="R9" s="82"/>
      <c r="S9" s="82"/>
      <c r="V9" s="66" t="e">
        <f t="shared" si="2"/>
        <v>#N/A</v>
      </c>
      <c r="W9" s="82" t="e">
        <f>+G9/V9</f>
        <v>#N/A</v>
      </c>
    </row>
    <row r="10" spans="1:23" x14ac:dyDescent="0.25">
      <c r="B10" s="108"/>
      <c r="E10" s="67"/>
      <c r="F10" s="67"/>
      <c r="G10" s="69"/>
      <c r="I10" s="82"/>
      <c r="J10" s="82"/>
      <c r="K10" s="82"/>
      <c r="M10" s="82"/>
      <c r="N10" s="82"/>
      <c r="O10" s="82"/>
      <c r="Q10" s="82"/>
      <c r="R10" s="82"/>
      <c r="S10" s="82"/>
      <c r="V10" s="66" t="e">
        <f t="shared" si="2"/>
        <v>#N/A</v>
      </c>
      <c r="W10" s="82" t="e">
        <f>+G10/V10</f>
        <v>#N/A</v>
      </c>
    </row>
    <row r="11" spans="1:23" x14ac:dyDescent="0.25">
      <c r="B11" s="108"/>
      <c r="E11" s="67"/>
      <c r="F11" s="67"/>
      <c r="G11" s="69"/>
      <c r="I11" s="82"/>
      <c r="J11" s="82"/>
      <c r="K11" s="82"/>
      <c r="M11" s="82"/>
      <c r="N11" s="82"/>
      <c r="O11" s="82"/>
      <c r="Q11" s="82"/>
      <c r="R11" s="82"/>
      <c r="S11" s="82"/>
      <c r="V11" s="66" t="e">
        <f t="shared" si="2"/>
        <v>#N/A</v>
      </c>
      <c r="W11" s="82" t="e">
        <f>+G11/V11</f>
        <v>#N/A</v>
      </c>
    </row>
    <row r="12" spans="1:23" ht="6" customHeight="1" x14ac:dyDescent="0.25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V12" s="87"/>
    </row>
    <row r="13" spans="1:23" s="70" customFormat="1" ht="15" customHeight="1" x14ac:dyDescent="0.25">
      <c r="B13" s="75" t="s">
        <v>196</v>
      </c>
      <c r="C13" s="76"/>
      <c r="D13" s="76"/>
      <c r="E13" s="76"/>
      <c r="F13" s="76"/>
      <c r="G13" s="76"/>
      <c r="H13" s="76"/>
      <c r="I13" s="83" t="e">
        <f>+AVERAGE(I8:I11)</f>
        <v>#DIV/0!</v>
      </c>
      <c r="J13" s="83" t="e">
        <f t="shared" ref="J13:K13" si="3">+AVERAGE(J8:J11)</f>
        <v>#DIV/0!</v>
      </c>
      <c r="K13" s="83" t="e">
        <f t="shared" si="3"/>
        <v>#DIV/0!</v>
      </c>
      <c r="L13" s="76"/>
      <c r="M13" s="83" t="e">
        <f>+AVERAGE(M8:M11)</f>
        <v>#DIV/0!</v>
      </c>
      <c r="N13" s="83" t="e">
        <f t="shared" ref="N13:O13" si="4">+AVERAGE(N8:N11)</f>
        <v>#DIV/0!</v>
      </c>
      <c r="O13" s="83" t="e">
        <f t="shared" si="4"/>
        <v>#DIV/0!</v>
      </c>
      <c r="P13" s="76"/>
      <c r="Q13" s="83" t="e">
        <f>+AVERAGE(Q8:Q11)</f>
        <v>#DIV/0!</v>
      </c>
      <c r="R13" s="83" t="e">
        <f t="shared" ref="R13:S13" si="5">+AVERAGE(R8:R11)</f>
        <v>#DIV/0!</v>
      </c>
      <c r="S13" s="83" t="e">
        <f t="shared" si="5"/>
        <v>#DIV/0!</v>
      </c>
      <c r="T13" s="76"/>
      <c r="V13" s="88"/>
    </row>
    <row r="14" spans="1:23" s="70" customFormat="1" ht="15" customHeight="1" x14ac:dyDescent="0.25">
      <c r="B14" s="75" t="s">
        <v>195</v>
      </c>
      <c r="C14" s="76"/>
      <c r="D14" s="76"/>
      <c r="E14" s="76"/>
      <c r="F14" s="76"/>
      <c r="G14" s="76"/>
      <c r="H14" s="76"/>
      <c r="I14" s="83" t="e">
        <f>+MEDIAN(I8:I11)</f>
        <v>#NUM!</v>
      </c>
      <c r="J14" s="83" t="e">
        <f t="shared" ref="J14:K14" si="6">+MEDIAN(J8:J11)</f>
        <v>#NUM!</v>
      </c>
      <c r="K14" s="83" t="e">
        <f t="shared" si="6"/>
        <v>#NUM!</v>
      </c>
      <c r="L14" s="76"/>
      <c r="M14" s="83" t="e">
        <f>+MEDIAN(M8:M11)</f>
        <v>#NUM!</v>
      </c>
      <c r="N14" s="83" t="e">
        <f t="shared" ref="N14:O14" si="7">+MEDIAN(N8:N11)</f>
        <v>#NUM!</v>
      </c>
      <c r="O14" s="83" t="e">
        <f t="shared" si="7"/>
        <v>#NUM!</v>
      </c>
      <c r="P14" s="76"/>
      <c r="Q14" s="83" t="e">
        <f>+MEDIAN(Q8:Q11)</f>
        <v>#NUM!</v>
      </c>
      <c r="R14" s="83" t="e">
        <f t="shared" ref="R14:S14" si="8">+MEDIAN(R8:R11)</f>
        <v>#NUM!</v>
      </c>
      <c r="S14" s="83" t="e">
        <f t="shared" si="8"/>
        <v>#NUM!</v>
      </c>
      <c r="T14" s="76"/>
      <c r="V14" s="88"/>
    </row>
    <row r="15" spans="1:23" s="70" customFormat="1" ht="15" customHeight="1" x14ac:dyDescent="0.25">
      <c r="B15" s="75" t="s">
        <v>194</v>
      </c>
      <c r="C15" s="76"/>
      <c r="D15" s="76"/>
      <c r="E15" s="76"/>
      <c r="F15" s="76"/>
      <c r="G15" s="76"/>
      <c r="H15" s="76"/>
      <c r="I15" s="83">
        <f>+MAX(I8:I11)</f>
        <v>0</v>
      </c>
      <c r="J15" s="83">
        <f t="shared" ref="J15:K15" si="9">+MAX(J8:J11)</f>
        <v>0</v>
      </c>
      <c r="K15" s="83">
        <f t="shared" si="9"/>
        <v>0</v>
      </c>
      <c r="L15" s="76"/>
      <c r="M15" s="83">
        <f>+MAX(M8:M11)</f>
        <v>0</v>
      </c>
      <c r="N15" s="83">
        <f t="shared" ref="N15:O15" si="10">+MAX(N8:N11)</f>
        <v>0</v>
      </c>
      <c r="O15" s="83">
        <f t="shared" si="10"/>
        <v>0</v>
      </c>
      <c r="P15" s="76"/>
      <c r="Q15" s="83">
        <f>+MAX(Q8:Q11)</f>
        <v>0</v>
      </c>
      <c r="R15" s="83">
        <f t="shared" ref="R15:S15" si="11">+MAX(R8:R11)</f>
        <v>0</v>
      </c>
      <c r="S15" s="83">
        <f t="shared" si="11"/>
        <v>0</v>
      </c>
      <c r="T15" s="76"/>
      <c r="V15" s="88"/>
    </row>
    <row r="16" spans="1:23" s="70" customFormat="1" ht="15" customHeight="1" x14ac:dyDescent="0.25">
      <c r="B16" s="78" t="s">
        <v>193</v>
      </c>
      <c r="C16" s="79"/>
      <c r="D16" s="79"/>
      <c r="E16" s="79"/>
      <c r="F16" s="79"/>
      <c r="G16" s="79"/>
      <c r="H16" s="79"/>
      <c r="I16" s="84">
        <f>+MIN(I8:I11)</f>
        <v>0</v>
      </c>
      <c r="J16" s="84">
        <f t="shared" ref="J16:K16" si="12">+MIN(J8:J11)</f>
        <v>0</v>
      </c>
      <c r="K16" s="84">
        <f t="shared" si="12"/>
        <v>0</v>
      </c>
      <c r="L16" s="79"/>
      <c r="M16" s="84">
        <f>+MIN(M8:M11)</f>
        <v>0</v>
      </c>
      <c r="N16" s="84">
        <f t="shared" ref="N16:O16" si="13">+MIN(N8:N11)</f>
        <v>0</v>
      </c>
      <c r="O16" s="84">
        <f t="shared" si="13"/>
        <v>0</v>
      </c>
      <c r="P16" s="79"/>
      <c r="Q16" s="84">
        <f>+MIN(Q8:Q11)</f>
        <v>0</v>
      </c>
      <c r="R16" s="84">
        <f t="shared" ref="R16:S16" si="14">+MIN(R8:R11)</f>
        <v>0</v>
      </c>
      <c r="S16" s="84">
        <f t="shared" si="14"/>
        <v>0</v>
      </c>
      <c r="T16" s="79"/>
      <c r="V16" s="88"/>
    </row>
    <row r="17" spans="2:23" x14ac:dyDescent="0.25">
      <c r="V17" s="87"/>
    </row>
    <row r="18" spans="2:23" s="70" customFormat="1" ht="25.15" customHeight="1" x14ac:dyDescent="0.25">
      <c r="B18" s="71" t="s">
        <v>87</v>
      </c>
      <c r="C18" s="72" t="e">
        <f>+'Operating Metrics'!C18</f>
        <v>#N/A</v>
      </c>
      <c r="D18" s="72"/>
      <c r="E18" s="74" t="e">
        <f>+'Operating Metrics'!E18</f>
        <v>#N/A</v>
      </c>
      <c r="F18" s="74" t="e">
        <f>+'Operating Metrics'!F18</f>
        <v>#N/A</v>
      </c>
      <c r="G18" s="73" t="e">
        <f>+'Operating Metrics'!G18</f>
        <v>#N/A</v>
      </c>
      <c r="H18" s="72"/>
      <c r="I18" s="85" t="e">
        <f>+$E18/#REF!</f>
        <v>#N/A</v>
      </c>
      <c r="J18" s="85" t="e">
        <f>+$E18/'Operating Metrics'!L18</f>
        <v>#N/A</v>
      </c>
      <c r="K18" s="85" t="e">
        <f>+$E18/'Operating Metrics'!M18</f>
        <v>#N/A</v>
      </c>
      <c r="L18" s="86"/>
      <c r="M18" s="85" t="e">
        <f>+$E18/#REF!</f>
        <v>#N/A</v>
      </c>
      <c r="N18" s="85" t="e">
        <f>+$E18/'Operating Metrics'!S18</f>
        <v>#N/A</v>
      </c>
      <c r="O18" s="85" t="e">
        <f>+$E18/'Operating Metrics'!T18</f>
        <v>#N/A</v>
      </c>
      <c r="P18" s="86"/>
      <c r="Q18" s="86" t="e">
        <f>+$F18/#REF!</f>
        <v>#N/A</v>
      </c>
      <c r="R18" s="86" t="e">
        <f>+$F18/'Operating Metrics'!AE18</f>
        <v>#N/A</v>
      </c>
      <c r="S18" s="86" t="e">
        <f>+$F18/'Operating Metrics'!AF18</f>
        <v>#N/A</v>
      </c>
      <c r="T18" s="72"/>
      <c r="V18" s="89" t="e">
        <f>+HLOOKUP($B18,INPUTS,MATCH(V$1,METRICS,0),FALSE)</f>
        <v>#N/A</v>
      </c>
      <c r="W18" s="97" t="e">
        <f>+G18/V18</f>
        <v>#N/A</v>
      </c>
    </row>
    <row r="22" spans="2:23" ht="16" x14ac:dyDescent="0.6">
      <c r="B22" s="98" t="s">
        <v>209</v>
      </c>
      <c r="C22" s="98"/>
    </row>
    <row r="23" spans="2:23" x14ac:dyDescent="0.25">
      <c r="B23" t="e">
        <f>C18</f>
        <v>#N/A</v>
      </c>
      <c r="C23" s="90" t="e">
        <f>J18</f>
        <v>#N/A</v>
      </c>
    </row>
    <row r="24" spans="2:23" x14ac:dyDescent="0.25">
      <c r="B24">
        <f>C9</f>
        <v>0</v>
      </c>
      <c r="C24" s="90">
        <f>J9</f>
        <v>0</v>
      </c>
    </row>
    <row r="25" spans="2:23" x14ac:dyDescent="0.25">
      <c r="B25">
        <f>C8</f>
        <v>0</v>
      </c>
      <c r="C25" s="90">
        <f>J8</f>
        <v>0</v>
      </c>
    </row>
    <row r="26" spans="2:23" x14ac:dyDescent="0.25">
      <c r="B26">
        <f>C11</f>
        <v>0</v>
      </c>
      <c r="C26" s="90">
        <f>J11</f>
        <v>0</v>
      </c>
    </row>
    <row r="27" spans="2:23" x14ac:dyDescent="0.25">
      <c r="B27">
        <f>C10</f>
        <v>0</v>
      </c>
      <c r="C27" s="90">
        <f>J10</f>
        <v>0</v>
      </c>
    </row>
    <row r="29" spans="2:23" x14ac:dyDescent="0.25">
      <c r="C29" s="90"/>
    </row>
    <row r="30" spans="2:23" x14ac:dyDescent="0.25">
      <c r="C30" s="90"/>
    </row>
    <row r="40" spans="2:3" ht="16" x14ac:dyDescent="0.6">
      <c r="B40" s="98" t="s">
        <v>210</v>
      </c>
      <c r="C40" s="98"/>
    </row>
    <row r="41" spans="2:3" x14ac:dyDescent="0.25">
      <c r="B41" t="e">
        <f>C18</f>
        <v>#N/A</v>
      </c>
      <c r="C41" s="90" t="e">
        <f>N18</f>
        <v>#N/A</v>
      </c>
    </row>
    <row r="42" spans="2:3" x14ac:dyDescent="0.25">
      <c r="B42">
        <f>C9</f>
        <v>0</v>
      </c>
      <c r="C42" s="90">
        <f>N9</f>
        <v>0</v>
      </c>
    </row>
    <row r="43" spans="2:3" x14ac:dyDescent="0.25">
      <c r="B43">
        <f>C11</f>
        <v>0</v>
      </c>
      <c r="C43" s="90">
        <f>N11</f>
        <v>0</v>
      </c>
    </row>
    <row r="44" spans="2:3" x14ac:dyDescent="0.25">
      <c r="B44">
        <f>C8</f>
        <v>0</v>
      </c>
      <c r="C44" s="90">
        <f>N8</f>
        <v>0</v>
      </c>
    </row>
    <row r="45" spans="2:3" x14ac:dyDescent="0.25">
      <c r="B45">
        <f>C10</f>
        <v>0</v>
      </c>
      <c r="C45" s="90">
        <f>N10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74DF-8A8F-4B35-B559-ADA6D4AE3177}">
  <sheetPr>
    <tabColor theme="5" tint="-0.249977111117893"/>
  </sheetPr>
  <dimension ref="B2:K19"/>
  <sheetViews>
    <sheetView showGridLines="0" zoomScale="85" zoomScaleNormal="85" workbookViewId="0"/>
  </sheetViews>
  <sheetFormatPr defaultRowHeight="12.5" x14ac:dyDescent="0.25"/>
  <cols>
    <col min="1" max="1" width="2.26953125" customWidth="1"/>
    <col min="2" max="2" width="31.36328125" bestFit="1" customWidth="1"/>
  </cols>
  <sheetData>
    <row r="2" spans="2:11" ht="16" x14ac:dyDescent="0.6">
      <c r="B2" s="105" t="s">
        <v>87</v>
      </c>
      <c r="C2" s="109" t="s">
        <v>215</v>
      </c>
      <c r="D2" s="109"/>
      <c r="E2" s="109"/>
      <c r="F2" s="110"/>
      <c r="G2" s="110"/>
      <c r="H2" s="110"/>
      <c r="I2" s="110"/>
    </row>
    <row r="3" spans="2:11" ht="16" x14ac:dyDescent="0.6">
      <c r="C3" s="59" t="str">
        <f>'Valuation Metrics'!B22</f>
        <v>2024E EV / Revenue</v>
      </c>
      <c r="D3" s="59"/>
      <c r="E3" s="59"/>
      <c r="G3" s="59" t="str">
        <f>'Valuation Metrics'!B40</f>
        <v>2024E EV / EBITDA</v>
      </c>
      <c r="H3" s="59"/>
      <c r="I3" s="59"/>
    </row>
    <row r="4" spans="2:11" ht="13" x14ac:dyDescent="0.3">
      <c r="C4" s="99" t="s">
        <v>212</v>
      </c>
      <c r="E4" s="99" t="s">
        <v>213</v>
      </c>
      <c r="G4" s="99" t="s">
        <v>212</v>
      </c>
      <c r="I4" s="99" t="s">
        <v>213</v>
      </c>
    </row>
    <row r="5" spans="2:11" x14ac:dyDescent="0.25">
      <c r="C5" s="126"/>
      <c r="E5" s="126"/>
      <c r="G5" s="126"/>
      <c r="I5" s="126"/>
    </row>
    <row r="6" spans="2:11" x14ac:dyDescent="0.25">
      <c r="B6" s="100" t="s">
        <v>216</v>
      </c>
      <c r="C6" s="101" t="e">
        <f>'Operating Metrics'!L18</f>
        <v>#N/A</v>
      </c>
      <c r="E6" s="101" t="e">
        <f>'Operating Metrics'!L18</f>
        <v>#N/A</v>
      </c>
      <c r="G6" s="101" t="e">
        <f>'Operating Metrics'!S18</f>
        <v>#N/A</v>
      </c>
      <c r="I6" s="101" t="e">
        <f>'Operating Metrics'!S18</f>
        <v>#N/A</v>
      </c>
    </row>
    <row r="7" spans="2:11" s="5" customFormat="1" ht="13" x14ac:dyDescent="0.3">
      <c r="B7" s="102" t="s">
        <v>217</v>
      </c>
      <c r="C7" s="104" t="e">
        <f>C5*C6</f>
        <v>#N/A</v>
      </c>
      <c r="D7" s="103"/>
      <c r="E7" s="104" t="e">
        <f>E5*E6</f>
        <v>#N/A</v>
      </c>
      <c r="G7" s="104" t="e">
        <f>G5*G6</f>
        <v>#N/A</v>
      </c>
      <c r="H7" s="103"/>
      <c r="I7" s="104" t="e">
        <f>I5*I6</f>
        <v>#N/A</v>
      </c>
    </row>
    <row r="8" spans="2:11" ht="13" x14ac:dyDescent="0.3">
      <c r="B8" s="100" t="s">
        <v>218</v>
      </c>
      <c r="C8" s="67" t="e">
        <f>+HLOOKUP($B2,INPUTS,MATCH($K$8,METRICS,0),FALSE)</f>
        <v>#N/A</v>
      </c>
      <c r="E8" s="67" t="e">
        <f>+HLOOKUP($B2,INPUTS,MATCH($K$8,METRICS,0),FALSE)</f>
        <v>#N/A</v>
      </c>
      <c r="G8" s="67" t="e">
        <f>+HLOOKUP($B2,INPUTS,MATCH($K$8,METRICS,0),FALSE)</f>
        <v>#N/A</v>
      </c>
      <c r="I8" s="67" t="e">
        <f>+HLOOKUP($B2,INPUTS,MATCH($K$8,METRICS,0),FALSE)</f>
        <v>#N/A</v>
      </c>
      <c r="K8" s="125" t="s">
        <v>156</v>
      </c>
    </row>
    <row r="9" spans="2:11" s="5" customFormat="1" ht="13" x14ac:dyDescent="0.3">
      <c r="B9" s="102" t="s">
        <v>219</v>
      </c>
      <c r="C9" s="104" t="e">
        <f>C7+C8</f>
        <v>#N/A</v>
      </c>
      <c r="D9" s="57"/>
      <c r="E9" s="104" t="e">
        <f>E7+E8</f>
        <v>#N/A</v>
      </c>
      <c r="G9" s="104" t="e">
        <f>G7+G8</f>
        <v>#N/A</v>
      </c>
      <c r="H9" s="57"/>
      <c r="I9" s="104" t="e">
        <f>I7+I8</f>
        <v>#N/A</v>
      </c>
    </row>
    <row r="10" spans="2:11" ht="13" x14ac:dyDescent="0.3">
      <c r="B10" s="100" t="s">
        <v>134</v>
      </c>
      <c r="C10" s="106" t="e">
        <f>+HLOOKUP($B2,INPUTS,MATCH($K$10,METRICS,0),FALSE)</f>
        <v>#N/A</v>
      </c>
      <c r="D10" s="34"/>
      <c r="E10" s="106" t="e">
        <f>+HLOOKUP($B2,INPUTS,MATCH($K$10,METRICS,0),FALSE)</f>
        <v>#N/A</v>
      </c>
      <c r="G10" s="106" t="e">
        <f>+HLOOKUP($B2,INPUTS,MATCH($K$10,METRICS,0),FALSE)</f>
        <v>#N/A</v>
      </c>
      <c r="H10" s="34"/>
      <c r="I10" s="106" t="e">
        <f>+HLOOKUP($B2,INPUTS,MATCH($K$10,METRICS,0),FALSE)</f>
        <v>#N/A</v>
      </c>
      <c r="K10" s="125" t="s">
        <v>134</v>
      </c>
    </row>
    <row r="11" spans="2:11" s="5" customFormat="1" ht="13" x14ac:dyDescent="0.3">
      <c r="B11" s="102" t="s">
        <v>108</v>
      </c>
      <c r="C11" s="107" t="e">
        <f>C9/C10</f>
        <v>#N/A</v>
      </c>
      <c r="D11" s="103"/>
      <c r="E11" s="107" t="e">
        <f>E9/E10</f>
        <v>#N/A</v>
      </c>
      <c r="G11" s="107" t="e">
        <f>G9/G10</f>
        <v>#N/A</v>
      </c>
      <c r="H11" s="103"/>
      <c r="I11" s="107" t="e">
        <f>I9/I10</f>
        <v>#N/A</v>
      </c>
    </row>
    <row r="14" spans="2:11" ht="13" x14ac:dyDescent="0.3">
      <c r="C14" s="99" t="s">
        <v>212</v>
      </c>
      <c r="D14" s="99" t="s">
        <v>214</v>
      </c>
      <c r="E14" s="99" t="s">
        <v>213</v>
      </c>
    </row>
    <row r="15" spans="2:11" ht="13" x14ac:dyDescent="0.3">
      <c r="B15" s="5" t="s">
        <v>211</v>
      </c>
      <c r="C15" s="115">
        <v>11.56</v>
      </c>
      <c r="D15" s="116">
        <f>E15-C15</f>
        <v>15.87</v>
      </c>
      <c r="E15" s="117">
        <v>27.43</v>
      </c>
      <c r="F15" s="113" t="s">
        <v>224</v>
      </c>
    </row>
    <row r="16" spans="2:11" ht="26" x14ac:dyDescent="0.3">
      <c r="B16" s="112" t="s">
        <v>222</v>
      </c>
      <c r="C16" s="114">
        <v>12</v>
      </c>
      <c r="D16" s="33">
        <f t="shared" ref="D16:D17" si="0">E16-C16</f>
        <v>10</v>
      </c>
      <c r="E16" s="118">
        <v>22</v>
      </c>
      <c r="F16" s="113" t="s">
        <v>224</v>
      </c>
    </row>
    <row r="17" spans="2:6" ht="26" x14ac:dyDescent="0.3">
      <c r="B17" s="112" t="s">
        <v>223</v>
      </c>
      <c r="C17" s="114">
        <v>14</v>
      </c>
      <c r="D17" s="33">
        <f t="shared" si="0"/>
        <v>5</v>
      </c>
      <c r="E17" s="118">
        <v>19</v>
      </c>
      <c r="F17" s="113" t="s">
        <v>224</v>
      </c>
    </row>
    <row r="18" spans="2:6" ht="26" x14ac:dyDescent="0.3">
      <c r="B18" s="111" t="s">
        <v>220</v>
      </c>
      <c r="C18" s="119"/>
      <c r="D18" s="120"/>
      <c r="E18" s="121"/>
    </row>
    <row r="19" spans="2:6" ht="26" x14ac:dyDescent="0.3">
      <c r="B19" s="111" t="s">
        <v>221</v>
      </c>
      <c r="C19" s="122"/>
      <c r="D19" s="123"/>
      <c r="E19" s="12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09012989"><![CDATA[{"EXTR^P(01/17/2023)":19.77,"EXTR^P(02/23/2023)":19.14,"JNPR-US^P(02/23/2023)":31.47,"HPE-US^P(02/23/2023)":15.74,"ANET-US^P(02/23/2023)":136.84,"CSCO-US^P(02/23/2023)":49.21,"JNPR-US^P(02/23/2024)":37.18,"HPE-US^P(02/23/2024)":15.11,"ANET-US^P(02/23/2024)":267.66,"CSCO-US^P(02/23/2024)":48.86,"EXTR-US^P(02/23/2024)":12.38}]]></FdsFormulaCache>
</file>

<file path=customXml/itemProps1.xml><?xml version="1.0" encoding="utf-8"?>
<ds:datastoreItem xmlns:ds="http://schemas.openxmlformats.org/officeDocument/2006/customXml" ds:itemID="{92EC9DB2-2757-4876-919E-D4B25E2E1991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ANR as of Feb 14</vt:lpstr>
      <vt:lpstr>Input Tab</vt:lpstr>
      <vt:lpstr>Operating Metrics</vt:lpstr>
      <vt:lpstr>Valuation Metrics</vt:lpstr>
      <vt:lpstr>Football Field</vt:lpstr>
      <vt:lpstr>INPUTS</vt:lpstr>
      <vt:lpstr>METRICS</vt:lpstr>
      <vt:lpstr>REFRESHDATE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Federico</dc:creator>
  <cp:lastModifiedBy>Afolabi Isiaka</cp:lastModifiedBy>
  <dcterms:created xsi:type="dcterms:W3CDTF">2023-12-19T17:08:43Z</dcterms:created>
  <dcterms:modified xsi:type="dcterms:W3CDTF">2025-07-17T20:18:29Z</dcterms:modified>
</cp:coreProperties>
</file>