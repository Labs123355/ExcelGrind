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eipny-my.sharepoint.com/personal/isiaka_energyimpactpartners_com/Documents/Training/Financial Modelling/Case Study/"/>
    </mc:Choice>
  </mc:AlternateContent>
  <xr:revisionPtr revIDLastSave="195" documentId="1_{37B8ABF9-1A25-483F-879F-D19524110217}" xr6:coauthVersionLast="47" xr6:coauthVersionMax="47" xr10:uidLastSave="{42A75B78-ABEC-47AC-864F-912073BA5BB3}"/>
  <bookViews>
    <workbookView xWindow="-110" yWindow="-110" windowWidth="19420" windowHeight="11500" firstSheet="5" activeTab="9" xr2:uid="{00000000-000D-0000-FFFF-FFFF00000000}"/>
  </bookViews>
  <sheets>
    <sheet name="ChargeHelp Example" sheetId="9" state="hidden" r:id="rId1"/>
    <sheet name="Price" sheetId="1" r:id="rId2"/>
    <sheet name="Aid" sheetId="2" r:id="rId3"/>
    <sheet name="RevnueDrivers&gt;&gt;" sheetId="7" r:id="rId4"/>
    <sheet name="Head Count" sheetId="6" r:id="rId5"/>
    <sheet name="GrowthForecast" sheetId="3" r:id="rId6"/>
    <sheet name="ChurnMatrix" sheetId="5" r:id="rId7"/>
    <sheet name="ModelDrivers" sheetId="11" r:id="rId8"/>
    <sheet name="PB_CACHE" sheetId="14" state="veryHidden" r:id="rId9"/>
    <sheet name="P&amp;Lv2" sheetId="8" r:id="rId10"/>
    <sheet name="P&amp;L" sheetId="4" r:id="rId11"/>
    <sheet name="Sheet1" sheetId="12" r:id="rId12"/>
  </sheets>
  <externalReferences>
    <externalReference r:id="rId13"/>
  </externalReferences>
  <definedNames>
    <definedName name="Burn">[1]Projections!$E$63</definedName>
    <definedName name="Conversion1">[1]Projections!$D$18</definedName>
    <definedName name="Conversion2">[1]Projections!$D$19</definedName>
    <definedName name="Conversion3">[1]Projections!$D$20</definedName>
    <definedName name="CostPerUser">[1]Projections!$D$55</definedName>
    <definedName name="Price1">[1]Projections!$D$25</definedName>
    <definedName name="Price2">[1]Projections!$D$26</definedName>
    <definedName name="Price3">[1]Projections!$D$27</definedName>
    <definedName name="PricePSF">[1]Projections!$D$54</definedName>
    <definedName name="SFpp">[1]Projections!$D$53</definedName>
  </definedNam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3" i="8" l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F7" i="8"/>
  <c r="G7" i="8" s="1"/>
  <c r="E7" i="8"/>
  <c r="D7" i="8"/>
  <c r="E4" i="5"/>
  <c r="F4" i="5" s="1"/>
  <c r="G4" i="5" s="1"/>
  <c r="H4" i="5" s="1"/>
  <c r="I4" i="5" s="1"/>
  <c r="J4" i="5" s="1"/>
  <c r="P79" i="8"/>
  <c r="O79" i="8"/>
  <c r="N79" i="8"/>
  <c r="M79" i="8"/>
  <c r="L79" i="8"/>
  <c r="K79" i="8"/>
  <c r="J79" i="8"/>
  <c r="D22" i="8"/>
  <c r="E22" i="8"/>
  <c r="F22" i="8"/>
  <c r="G22" i="8"/>
  <c r="H22" i="8"/>
  <c r="I22" i="8"/>
  <c r="D79" i="8"/>
  <c r="C23" i="8"/>
  <c r="O23" i="8" s="1"/>
  <c r="C80" i="8"/>
  <c r="P80" i="8" s="1"/>
  <c r="C52" i="8"/>
  <c r="C74" i="5"/>
  <c r="C75" i="5" s="1"/>
  <c r="C76" i="5" s="1"/>
  <c r="D76" i="5" s="1"/>
  <c r="D73" i="5"/>
  <c r="C46" i="5"/>
  <c r="C47" i="5" s="1"/>
  <c r="C48" i="5" s="1"/>
  <c r="C49" i="5" s="1"/>
  <c r="C17" i="5"/>
  <c r="C18" i="5" s="1"/>
  <c r="I16" i="5"/>
  <c r="H16" i="5"/>
  <c r="G16" i="5"/>
  <c r="F16" i="5"/>
  <c r="E16" i="5"/>
  <c r="D16" i="5"/>
  <c r="E9" i="5"/>
  <c r="G5" i="11"/>
  <c r="G6" i="11" s="1"/>
  <c r="G7" i="11" s="1"/>
  <c r="G8" i="11" s="1"/>
  <c r="G9" i="11" s="1"/>
  <c r="E11" i="11"/>
  <c r="C116" i="8"/>
  <c r="C115" i="8"/>
  <c r="C114" i="8"/>
  <c r="D13" i="8"/>
  <c r="E13" i="8" s="1"/>
  <c r="D9" i="8"/>
  <c r="E9" i="8" s="1"/>
  <c r="E19" i="12" a="1"/>
  <c r="G15" i="12" a="1"/>
  <c r="D12" i="12" a="1"/>
  <c r="J12" i="12" a="1"/>
  <c r="D14" i="12" a="1"/>
  <c r="L12" i="12" a="1"/>
  <c r="D17" i="12" a="1"/>
  <c r="J17" i="12" a="1"/>
  <c r="G14" i="12" a="1"/>
  <c r="E10" i="12" a="1"/>
  <c r="K12" i="12" a="1"/>
  <c r="L11" i="12" a="1"/>
  <c r="D11" i="12" a="1"/>
  <c r="L15" i="12" a="1"/>
  <c r="E14" i="12" a="1"/>
  <c r="K11" i="12" a="1"/>
  <c r="J15" i="12" a="1"/>
  <c r="E12" i="12" a="1"/>
  <c r="K17" i="12" a="1"/>
  <c r="L14" i="12" a="1"/>
  <c r="L17" i="12" a="1"/>
  <c r="D18" i="12" a="1"/>
  <c r="E18" i="12" a="1"/>
  <c r="L18" i="12" a="1"/>
  <c r="K15" i="12" a="1"/>
  <c r="D15" i="12" a="1"/>
  <c r="D16" i="12" a="1"/>
  <c r="L19" i="12" a="1"/>
  <c r="E15" i="12" a="1"/>
  <c r="J19" i="12" a="1"/>
  <c r="L10" i="12" a="1"/>
  <c r="J18" i="12" a="1"/>
  <c r="D13" i="12" a="1"/>
  <c r="J14" i="12" a="1"/>
  <c r="L16" i="12" a="1"/>
  <c r="G13" i="12" a="1"/>
  <c r="G11" i="12" a="1"/>
  <c r="E16" i="12" a="1"/>
  <c r="G16" i="12" a="1"/>
  <c r="J10" i="12" a="1"/>
  <c r="J16" i="12" a="1"/>
  <c r="K13" i="12" a="1"/>
  <c r="E11" i="12" a="1"/>
  <c r="G19" i="12" a="1"/>
  <c r="J13" i="12" a="1"/>
  <c r="E17" i="12" a="1"/>
  <c r="G12" i="12" a="1"/>
  <c r="D19" i="12" a="1"/>
  <c r="K16" i="12" a="1"/>
  <c r="D10" i="12" a="1"/>
  <c r="J11" i="12" a="1"/>
  <c r="G10" i="12" a="1"/>
  <c r="K19" i="12" a="1"/>
  <c r="K18" i="12" a="1"/>
  <c r="K10" i="12" a="1"/>
  <c r="E13" i="12" a="1"/>
  <c r="L13" i="12" a="1"/>
  <c r="K14" i="12" a="1"/>
  <c r="G18" i="12" a="1"/>
  <c r="G17" i="12" a="1"/>
  <c r="D80" i="8" l="1"/>
  <c r="L80" i="8"/>
  <c r="E80" i="8"/>
  <c r="K80" i="8"/>
  <c r="M80" i="8"/>
  <c r="N80" i="8"/>
  <c r="O80" i="8"/>
  <c r="E23" i="8"/>
  <c r="F23" i="8"/>
  <c r="G23" i="8"/>
  <c r="L23" i="8"/>
  <c r="M23" i="8"/>
  <c r="H23" i="8"/>
  <c r="I23" i="8"/>
  <c r="J23" i="8"/>
  <c r="K23" i="8"/>
  <c r="N23" i="8"/>
  <c r="D23" i="8"/>
  <c r="C24" i="8"/>
  <c r="E17" i="5"/>
  <c r="C81" i="8"/>
  <c r="D81" i="8" s="1"/>
  <c r="C53" i="8"/>
  <c r="E76" i="5"/>
  <c r="D17" i="5"/>
  <c r="D74" i="5"/>
  <c r="C19" i="5"/>
  <c r="E19" i="5" s="1"/>
  <c r="D18" i="5"/>
  <c r="E18" i="5"/>
  <c r="E74" i="5"/>
  <c r="F9" i="5"/>
  <c r="E75" i="5"/>
  <c r="C50" i="5"/>
  <c r="C77" i="5"/>
  <c r="E77" i="5" s="1"/>
  <c r="D75" i="5"/>
  <c r="E8" i="8"/>
  <c r="F8" i="8"/>
  <c r="D11" i="8"/>
  <c r="D15" i="8" s="1"/>
  <c r="D17" i="8" s="1"/>
  <c r="H7" i="8"/>
  <c r="G8" i="8"/>
  <c r="E11" i="8"/>
  <c r="E15" i="8" s="1"/>
  <c r="F9" i="8"/>
  <c r="F13" i="8"/>
  <c r="K16" i="12"/>
  <c r="K15" i="12"/>
  <c r="K17" i="12"/>
  <c r="K11" i="12"/>
  <c r="K13" i="12"/>
  <c r="K14" i="12"/>
  <c r="K18" i="12"/>
  <c r="K19" i="12"/>
  <c r="K12" i="12"/>
  <c r="K10" i="12"/>
  <c r="L15" i="12"/>
  <c r="L16" i="12"/>
  <c r="L18" i="12"/>
  <c r="L12" i="12"/>
  <c r="L14" i="12"/>
  <c r="L17" i="12"/>
  <c r="L11" i="12"/>
  <c r="L13" i="12"/>
  <c r="L19" i="12"/>
  <c r="L10" i="12"/>
  <c r="J11" i="12"/>
  <c r="J14" i="12"/>
  <c r="J12" i="12"/>
  <c r="J15" i="12"/>
  <c r="J18" i="12"/>
  <c r="J16" i="12"/>
  <c r="J19" i="12"/>
  <c r="J13" i="12"/>
  <c r="J17" i="12"/>
  <c r="J10" i="12"/>
  <c r="G11" i="12"/>
  <c r="G12" i="12"/>
  <c r="G13" i="12"/>
  <c r="G14" i="12"/>
  <c r="G16" i="12"/>
  <c r="G15" i="12"/>
  <c r="G17" i="12"/>
  <c r="G18" i="12"/>
  <c r="G19" i="12"/>
  <c r="G10" i="12"/>
  <c r="E16" i="12"/>
  <c r="E17" i="12"/>
  <c r="E18" i="12"/>
  <c r="E19" i="12"/>
  <c r="E11" i="12"/>
  <c r="E12" i="12"/>
  <c r="E13" i="12"/>
  <c r="E14" i="12"/>
  <c r="E15" i="12"/>
  <c r="E10" i="12"/>
  <c r="D19" i="12"/>
  <c r="D16" i="12"/>
  <c r="D17" i="12"/>
  <c r="D15" i="12"/>
  <c r="D14" i="12"/>
  <c r="D18" i="12"/>
  <c r="D13" i="12"/>
  <c r="D12" i="12"/>
  <c r="D11" i="12"/>
  <c r="D10" i="12"/>
  <c r="J28" i="11"/>
  <c r="J27" i="11"/>
  <c r="J25" i="11"/>
  <c r="J30" i="11"/>
  <c r="J29" i="11"/>
  <c r="J26" i="11"/>
  <c r="J24" i="11"/>
  <c r="H31" i="11"/>
  <c r="D31" i="11"/>
  <c r="D131" i="8" s="1"/>
  <c r="J23" i="11"/>
  <c r="P51" i="8" l="1"/>
  <c r="F81" i="8"/>
  <c r="E81" i="8"/>
  <c r="O81" i="8"/>
  <c r="M81" i="8"/>
  <c r="P81" i="8"/>
  <c r="N81" i="8"/>
  <c r="L81" i="8"/>
  <c r="C82" i="8"/>
  <c r="D82" i="8" s="1"/>
  <c r="D52" i="8"/>
  <c r="P52" i="8"/>
  <c r="F51" i="8"/>
  <c r="F52" i="8"/>
  <c r="G51" i="8"/>
  <c r="G52" i="8"/>
  <c r="E51" i="8"/>
  <c r="E52" i="8"/>
  <c r="D51" i="8"/>
  <c r="G24" i="8"/>
  <c r="F24" i="8"/>
  <c r="E24" i="8"/>
  <c r="D24" i="8"/>
  <c r="O24" i="8"/>
  <c r="N24" i="8"/>
  <c r="M24" i="8"/>
  <c r="L24" i="8"/>
  <c r="K24" i="8"/>
  <c r="J24" i="8"/>
  <c r="I24" i="8"/>
  <c r="H24" i="8"/>
  <c r="C25" i="8"/>
  <c r="C54" i="8"/>
  <c r="D11" i="5"/>
  <c r="E11" i="5"/>
  <c r="D77" i="5"/>
  <c r="C78" i="5"/>
  <c r="F78" i="5" s="1"/>
  <c r="C51" i="5"/>
  <c r="C20" i="5"/>
  <c r="F20" i="5" s="1"/>
  <c r="D19" i="5"/>
  <c r="F18" i="5"/>
  <c r="F75" i="5"/>
  <c r="G9" i="5"/>
  <c r="F19" i="5"/>
  <c r="F77" i="5"/>
  <c r="F76" i="5"/>
  <c r="F17" i="5"/>
  <c r="D109" i="8"/>
  <c r="D115" i="8" s="1"/>
  <c r="G9" i="8"/>
  <c r="F11" i="8"/>
  <c r="F15" i="8" s="1"/>
  <c r="G13" i="8"/>
  <c r="I7" i="8"/>
  <c r="H8" i="8"/>
  <c r="D134" i="8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F18" i="12"/>
  <c r="H18" i="12" s="1"/>
  <c r="F17" i="12"/>
  <c r="H17" i="12" s="1"/>
  <c r="F16" i="12"/>
  <c r="H16" i="12" s="1"/>
  <c r="F11" i="12"/>
  <c r="H11" i="12" s="1"/>
  <c r="F12" i="12"/>
  <c r="H12" i="12" s="1"/>
  <c r="F13" i="12"/>
  <c r="H13" i="12" s="1"/>
  <c r="F14" i="12"/>
  <c r="H14" i="12" s="1"/>
  <c r="F15" i="12"/>
  <c r="H15" i="12" s="1"/>
  <c r="F19" i="12"/>
  <c r="H19" i="12" s="1"/>
  <c r="F10" i="12"/>
  <c r="H10" i="12" s="1"/>
  <c r="N10" i="12" s="1"/>
  <c r="J31" i="11"/>
  <c r="D133" i="8" s="1"/>
  <c r="D13" i="5" l="1"/>
  <c r="D101" i="5" s="1"/>
  <c r="D112" i="8"/>
  <c r="D53" i="8"/>
  <c r="G80" i="8"/>
  <c r="F79" i="8"/>
  <c r="E79" i="8"/>
  <c r="F80" i="8"/>
  <c r="P82" i="8"/>
  <c r="N82" i="8"/>
  <c r="M82" i="8"/>
  <c r="O82" i="8"/>
  <c r="G82" i="8"/>
  <c r="F82" i="8"/>
  <c r="E82" i="8"/>
  <c r="G79" i="8"/>
  <c r="C83" i="8"/>
  <c r="D83" i="8" s="1"/>
  <c r="F53" i="8"/>
  <c r="E53" i="8"/>
  <c r="G53" i="8"/>
  <c r="P53" i="8"/>
  <c r="H53" i="8"/>
  <c r="H51" i="8"/>
  <c r="H79" i="8" s="1"/>
  <c r="H52" i="8"/>
  <c r="H80" i="8" s="1"/>
  <c r="O25" i="8"/>
  <c r="N25" i="8"/>
  <c r="M25" i="8"/>
  <c r="L25" i="8"/>
  <c r="K25" i="8"/>
  <c r="J25" i="8"/>
  <c r="I25" i="8"/>
  <c r="H25" i="8"/>
  <c r="G25" i="8"/>
  <c r="F25" i="8"/>
  <c r="E25" i="8"/>
  <c r="D25" i="8"/>
  <c r="C26" i="8"/>
  <c r="H78" i="8"/>
  <c r="H77" i="8"/>
  <c r="C55" i="8"/>
  <c r="F45" i="5"/>
  <c r="E45" i="5"/>
  <c r="D45" i="5"/>
  <c r="F46" i="5"/>
  <c r="D20" i="5"/>
  <c r="C21" i="5"/>
  <c r="G21" i="5" s="1"/>
  <c r="E20" i="5"/>
  <c r="F11" i="5"/>
  <c r="C52" i="5"/>
  <c r="D114" i="8"/>
  <c r="D78" i="5"/>
  <c r="C79" i="5"/>
  <c r="G79" i="5" s="1"/>
  <c r="E78" i="5"/>
  <c r="G45" i="5"/>
  <c r="G18" i="5"/>
  <c r="G76" i="5"/>
  <c r="G78" i="5"/>
  <c r="H9" i="5"/>
  <c r="G19" i="5"/>
  <c r="G77" i="5"/>
  <c r="G17" i="5"/>
  <c r="G46" i="5" s="1"/>
  <c r="G20" i="5"/>
  <c r="E46" i="5"/>
  <c r="D46" i="5"/>
  <c r="J7" i="8"/>
  <c r="I8" i="8"/>
  <c r="H13" i="8"/>
  <c r="H9" i="8"/>
  <c r="G11" i="8"/>
  <c r="G15" i="8" s="1"/>
  <c r="O16" i="12"/>
  <c r="N16" i="12"/>
  <c r="O15" i="12"/>
  <c r="N15" i="12"/>
  <c r="O12" i="12"/>
  <c r="N12" i="12"/>
  <c r="O19" i="12"/>
  <c r="N19" i="12"/>
  <c r="O14" i="12"/>
  <c r="N14" i="12"/>
  <c r="O13" i="12"/>
  <c r="N13" i="12"/>
  <c r="O11" i="12"/>
  <c r="N11" i="12"/>
  <c r="O17" i="12"/>
  <c r="N17" i="12"/>
  <c r="N18" i="12"/>
  <c r="O18" i="12"/>
  <c r="O10" i="12"/>
  <c r="G81" i="8" l="1"/>
  <c r="H81" i="8"/>
  <c r="H83" i="8"/>
  <c r="G83" i="8"/>
  <c r="F83" i="8"/>
  <c r="E83" i="8"/>
  <c r="O83" i="8"/>
  <c r="N83" i="8"/>
  <c r="P83" i="8"/>
  <c r="C84" i="8"/>
  <c r="D84" i="8" s="1"/>
  <c r="D54" i="8"/>
  <c r="F54" i="8"/>
  <c r="I51" i="8"/>
  <c r="I79" i="8" s="1"/>
  <c r="I54" i="8"/>
  <c r="I52" i="8"/>
  <c r="I80" i="8" s="1"/>
  <c r="I53" i="8"/>
  <c r="I81" i="8" s="1"/>
  <c r="H54" i="8"/>
  <c r="E54" i="8"/>
  <c r="G54" i="8"/>
  <c r="P54" i="8"/>
  <c r="E26" i="8"/>
  <c r="D26" i="8"/>
  <c r="K26" i="8"/>
  <c r="H26" i="8"/>
  <c r="J26" i="8"/>
  <c r="O26" i="8"/>
  <c r="N26" i="8"/>
  <c r="M26" i="8"/>
  <c r="L26" i="8"/>
  <c r="I26" i="8"/>
  <c r="G26" i="8"/>
  <c r="F26" i="8"/>
  <c r="C27" i="8"/>
  <c r="I78" i="8"/>
  <c r="I77" i="8"/>
  <c r="C56" i="8"/>
  <c r="G73" i="5"/>
  <c r="F73" i="5"/>
  <c r="E73" i="5"/>
  <c r="G74" i="5"/>
  <c r="F74" i="5"/>
  <c r="G47" i="5"/>
  <c r="D47" i="5"/>
  <c r="E47" i="5"/>
  <c r="F47" i="5"/>
  <c r="C22" i="5"/>
  <c r="H22" i="5" s="1"/>
  <c r="D21" i="5"/>
  <c r="E21" i="5"/>
  <c r="F21" i="5"/>
  <c r="H18" i="5"/>
  <c r="H47" i="5" s="1"/>
  <c r="H78" i="5"/>
  <c r="H21" i="5"/>
  <c r="I9" i="5"/>
  <c r="H45" i="5"/>
  <c r="H73" i="5" s="1"/>
  <c r="H77" i="5"/>
  <c r="H79" i="5"/>
  <c r="H20" i="5"/>
  <c r="H17" i="5"/>
  <c r="H46" i="5" s="1"/>
  <c r="H74" i="5" s="1"/>
  <c r="H19" i="5"/>
  <c r="C80" i="5"/>
  <c r="H80" i="5" s="1"/>
  <c r="D79" i="5"/>
  <c r="E79" i="5"/>
  <c r="F79" i="5"/>
  <c r="C53" i="5"/>
  <c r="G11" i="5"/>
  <c r="I9" i="8"/>
  <c r="H11" i="8"/>
  <c r="H15" i="8" s="1"/>
  <c r="I13" i="8"/>
  <c r="K7" i="8"/>
  <c r="J8" i="8"/>
  <c r="P55" i="8" l="1"/>
  <c r="I82" i="8"/>
  <c r="H84" i="8"/>
  <c r="P84" i="8"/>
  <c r="I84" i="8"/>
  <c r="G84" i="8"/>
  <c r="F84" i="8"/>
  <c r="E84" i="8"/>
  <c r="O84" i="8"/>
  <c r="H82" i="8"/>
  <c r="C85" i="8"/>
  <c r="D85" i="8" s="1"/>
  <c r="I55" i="8"/>
  <c r="D55" i="8"/>
  <c r="H55" i="8"/>
  <c r="J51" i="8"/>
  <c r="J54" i="8"/>
  <c r="J82" i="8" s="1"/>
  <c r="J55" i="8"/>
  <c r="J52" i="8"/>
  <c r="J80" i="8" s="1"/>
  <c r="J53" i="8"/>
  <c r="J81" i="8" s="1"/>
  <c r="G55" i="8"/>
  <c r="E55" i="8"/>
  <c r="F55" i="8"/>
  <c r="K27" i="8"/>
  <c r="J27" i="8"/>
  <c r="I27" i="8"/>
  <c r="H27" i="8"/>
  <c r="G27" i="8"/>
  <c r="F27" i="8"/>
  <c r="O27" i="8"/>
  <c r="N27" i="8"/>
  <c r="M27" i="8"/>
  <c r="L27" i="8"/>
  <c r="E27" i="8"/>
  <c r="D27" i="8"/>
  <c r="C28" i="8"/>
  <c r="J78" i="8"/>
  <c r="J77" i="8"/>
  <c r="C57" i="8"/>
  <c r="H75" i="5"/>
  <c r="G75" i="5"/>
  <c r="H48" i="5"/>
  <c r="D80" i="5"/>
  <c r="C81" i="5"/>
  <c r="I81" i="5" s="1"/>
  <c r="E80" i="5"/>
  <c r="F80" i="5"/>
  <c r="G80" i="5"/>
  <c r="D22" i="5"/>
  <c r="C23" i="5"/>
  <c r="E22" i="5"/>
  <c r="F22" i="5"/>
  <c r="G22" i="5"/>
  <c r="H11" i="5"/>
  <c r="F48" i="5"/>
  <c r="D48" i="5"/>
  <c r="G48" i="5"/>
  <c r="E48" i="5"/>
  <c r="C54" i="5"/>
  <c r="I78" i="5"/>
  <c r="I19" i="5"/>
  <c r="I48" i="5" s="1"/>
  <c r="I45" i="5"/>
  <c r="I73" i="5" s="1"/>
  <c r="I80" i="5"/>
  <c r="J9" i="5"/>
  <c r="I21" i="5"/>
  <c r="I79" i="5"/>
  <c r="I18" i="5"/>
  <c r="I47" i="5" s="1"/>
  <c r="I75" i="5" s="1"/>
  <c r="I17" i="5"/>
  <c r="I46" i="5" s="1"/>
  <c r="I74" i="5" s="1"/>
  <c r="I22" i="5"/>
  <c r="I20" i="5"/>
  <c r="J13" i="8"/>
  <c r="J9" i="8"/>
  <c r="I11" i="8"/>
  <c r="I15" i="8" s="1"/>
  <c r="L7" i="8"/>
  <c r="K8" i="8"/>
  <c r="G97" i="9"/>
  <c r="F97" i="9"/>
  <c r="E97" i="9"/>
  <c r="D97" i="9"/>
  <c r="G96" i="9"/>
  <c r="F96" i="9"/>
  <c r="E96" i="9"/>
  <c r="D96" i="9"/>
  <c r="C96" i="9"/>
  <c r="C98" i="9" s="1"/>
  <c r="C99" i="9" s="1"/>
  <c r="B96" i="9"/>
  <c r="B98" i="9" s="1"/>
  <c r="G92" i="9"/>
  <c r="D92" i="9"/>
  <c r="D91" i="9"/>
  <c r="H91" i="9" s="1"/>
  <c r="G89" i="9"/>
  <c r="E89" i="9"/>
  <c r="E90" i="9" s="1"/>
  <c r="D89" i="9"/>
  <c r="B89" i="9"/>
  <c r="G88" i="9"/>
  <c r="F88" i="9"/>
  <c r="F90" i="9" s="1"/>
  <c r="D88" i="9"/>
  <c r="C88" i="9"/>
  <c r="B88" i="9"/>
  <c r="G87" i="9"/>
  <c r="F87" i="9"/>
  <c r="E87" i="9"/>
  <c r="D87" i="9"/>
  <c r="C87" i="9"/>
  <c r="B87" i="9"/>
  <c r="B85" i="9"/>
  <c r="H85" i="9" s="1"/>
  <c r="B84" i="9"/>
  <c r="H84" i="9" s="1"/>
  <c r="G83" i="9"/>
  <c r="F83" i="9"/>
  <c r="E83" i="9"/>
  <c r="D83" i="9"/>
  <c r="C83" i="9"/>
  <c r="B83" i="9"/>
  <c r="G82" i="9"/>
  <c r="F82" i="9"/>
  <c r="E82" i="9"/>
  <c r="D82" i="9"/>
  <c r="C82" i="9"/>
  <c r="B82" i="9"/>
  <c r="G81" i="9"/>
  <c r="F81" i="9"/>
  <c r="E81" i="9"/>
  <c r="D81" i="9"/>
  <c r="C81" i="9"/>
  <c r="B81" i="9"/>
  <c r="G79" i="9"/>
  <c r="F79" i="9"/>
  <c r="E79" i="9"/>
  <c r="D79" i="9"/>
  <c r="C79" i="9"/>
  <c r="B79" i="9"/>
  <c r="G78" i="9"/>
  <c r="F78" i="9"/>
  <c r="E78" i="9"/>
  <c r="D78" i="9"/>
  <c r="C78" i="9"/>
  <c r="B78" i="9"/>
  <c r="G77" i="9"/>
  <c r="F77" i="9"/>
  <c r="E77" i="9"/>
  <c r="D77" i="9"/>
  <c r="C77" i="9"/>
  <c r="B77" i="9"/>
  <c r="G76" i="9"/>
  <c r="F76" i="9"/>
  <c r="E76" i="9"/>
  <c r="D76" i="9"/>
  <c r="C76" i="9"/>
  <c r="B76" i="9"/>
  <c r="G75" i="9"/>
  <c r="F75" i="9"/>
  <c r="E75" i="9"/>
  <c r="D75" i="9"/>
  <c r="C75" i="9"/>
  <c r="B75" i="9"/>
  <c r="H74" i="9"/>
  <c r="G72" i="9"/>
  <c r="F72" i="9"/>
  <c r="E72" i="9"/>
  <c r="D72" i="9"/>
  <c r="C72" i="9"/>
  <c r="B72" i="9"/>
  <c r="G71" i="9"/>
  <c r="F71" i="9"/>
  <c r="E71" i="9"/>
  <c r="D71" i="9"/>
  <c r="C71" i="9"/>
  <c r="B71" i="9"/>
  <c r="G70" i="9"/>
  <c r="F70" i="9"/>
  <c r="E70" i="9"/>
  <c r="D70" i="9"/>
  <c r="C70" i="9"/>
  <c r="B70" i="9"/>
  <c r="G68" i="9"/>
  <c r="F68" i="9"/>
  <c r="F69" i="9" s="1"/>
  <c r="E68" i="9"/>
  <c r="E69" i="9" s="1"/>
  <c r="D68" i="9"/>
  <c r="D69" i="9" s="1"/>
  <c r="C68" i="9"/>
  <c r="C69" i="9" s="1"/>
  <c r="B68" i="9"/>
  <c r="B69" i="9" s="1"/>
  <c r="H67" i="9"/>
  <c r="G66" i="9"/>
  <c r="F66" i="9"/>
  <c r="E66" i="9"/>
  <c r="G65" i="9"/>
  <c r="F65" i="9"/>
  <c r="E65" i="9"/>
  <c r="D65" i="9"/>
  <c r="C65" i="9"/>
  <c r="B65" i="9"/>
  <c r="G64" i="9"/>
  <c r="F64" i="9"/>
  <c r="E64" i="9"/>
  <c r="D64" i="9"/>
  <c r="C64" i="9"/>
  <c r="B64" i="9"/>
  <c r="G63" i="9"/>
  <c r="F63" i="9"/>
  <c r="E63" i="9"/>
  <c r="D63" i="9"/>
  <c r="C63" i="9"/>
  <c r="B63" i="9"/>
  <c r="G62" i="9"/>
  <c r="F62" i="9"/>
  <c r="E62" i="9"/>
  <c r="D62" i="9"/>
  <c r="C62" i="9"/>
  <c r="G61" i="9"/>
  <c r="F61" i="9"/>
  <c r="E61" i="9"/>
  <c r="D61" i="9"/>
  <c r="C61" i="9"/>
  <c r="G60" i="9"/>
  <c r="F60" i="9"/>
  <c r="E60" i="9"/>
  <c r="D60" i="9"/>
  <c r="C60" i="9"/>
  <c r="B60" i="9"/>
  <c r="G59" i="9"/>
  <c r="F59" i="9"/>
  <c r="E59" i="9"/>
  <c r="D59" i="9"/>
  <c r="C59" i="9"/>
  <c r="B59" i="9"/>
  <c r="G58" i="9"/>
  <c r="F58" i="9"/>
  <c r="E58" i="9"/>
  <c r="D58" i="9"/>
  <c r="C58" i="9"/>
  <c r="H57" i="9"/>
  <c r="F55" i="9"/>
  <c r="E55" i="9"/>
  <c r="D55" i="9"/>
  <c r="C55" i="9"/>
  <c r="G54" i="9"/>
  <c r="G56" i="9" s="1"/>
  <c r="F54" i="9"/>
  <c r="E54" i="9"/>
  <c r="D54" i="9"/>
  <c r="C54" i="9"/>
  <c r="B54" i="9"/>
  <c r="B56" i="9" s="1"/>
  <c r="H53" i="9"/>
  <c r="G51" i="9"/>
  <c r="F51" i="9"/>
  <c r="E51" i="9"/>
  <c r="D51" i="9"/>
  <c r="C51" i="9"/>
  <c r="B51" i="9"/>
  <c r="G50" i="9"/>
  <c r="F50" i="9"/>
  <c r="E50" i="9"/>
  <c r="D50" i="9"/>
  <c r="G49" i="9"/>
  <c r="F49" i="9"/>
  <c r="E49" i="9"/>
  <c r="D49" i="9"/>
  <c r="C49" i="9"/>
  <c r="B49" i="9"/>
  <c r="G48" i="9"/>
  <c r="F48" i="9"/>
  <c r="E48" i="9"/>
  <c r="D48" i="9"/>
  <c r="C48" i="9"/>
  <c r="B48" i="9"/>
  <c r="F47" i="9"/>
  <c r="E47" i="9"/>
  <c r="D47" i="9"/>
  <c r="C47" i="9"/>
  <c r="B47" i="9"/>
  <c r="G46" i="9"/>
  <c r="F46" i="9"/>
  <c r="E46" i="9"/>
  <c r="D46" i="9"/>
  <c r="C46" i="9"/>
  <c r="B46" i="9"/>
  <c r="G45" i="9"/>
  <c r="F45" i="9"/>
  <c r="E45" i="9"/>
  <c r="D45" i="9"/>
  <c r="C45" i="9"/>
  <c r="B45" i="9"/>
  <c r="H44" i="9"/>
  <c r="G42" i="9"/>
  <c r="F42" i="9"/>
  <c r="E42" i="9"/>
  <c r="D42" i="9"/>
  <c r="C42" i="9"/>
  <c r="B42" i="9"/>
  <c r="G41" i="9"/>
  <c r="F41" i="9"/>
  <c r="E41" i="9"/>
  <c r="D41" i="9"/>
  <c r="C41" i="9"/>
  <c r="B41" i="9"/>
  <c r="G40" i="9"/>
  <c r="F40" i="9"/>
  <c r="E40" i="9"/>
  <c r="D40" i="9"/>
  <c r="C40" i="9"/>
  <c r="B40" i="9"/>
  <c r="H39" i="9"/>
  <c r="G35" i="9"/>
  <c r="H35" i="9" s="1"/>
  <c r="D33" i="9"/>
  <c r="C33" i="9"/>
  <c r="B33" i="9"/>
  <c r="G32" i="9"/>
  <c r="F32" i="9"/>
  <c r="E32" i="9"/>
  <c r="D32" i="9"/>
  <c r="C32" i="9"/>
  <c r="B32" i="9"/>
  <c r="G31" i="9"/>
  <c r="F31" i="9"/>
  <c r="E31" i="9"/>
  <c r="D31" i="9"/>
  <c r="C31" i="9"/>
  <c r="B31" i="9"/>
  <c r="G30" i="9"/>
  <c r="F30" i="9"/>
  <c r="E30" i="9"/>
  <c r="D30" i="9"/>
  <c r="C30" i="9"/>
  <c r="B30" i="9"/>
  <c r="H29" i="9"/>
  <c r="G27" i="9"/>
  <c r="G28" i="9" s="1"/>
  <c r="F27" i="9"/>
  <c r="F28" i="9" s="1"/>
  <c r="E27" i="9"/>
  <c r="E28" i="9" s="1"/>
  <c r="D27" i="9"/>
  <c r="C27" i="9"/>
  <c r="B27" i="9"/>
  <c r="D26" i="9"/>
  <c r="C26" i="9"/>
  <c r="B24" i="9"/>
  <c r="H24" i="9" s="1"/>
  <c r="G23" i="9"/>
  <c r="F23" i="9"/>
  <c r="E23" i="9"/>
  <c r="D23" i="9"/>
  <c r="G22" i="9"/>
  <c r="F22" i="9"/>
  <c r="E22" i="9"/>
  <c r="D22" i="9"/>
  <c r="C22" i="9"/>
  <c r="B22" i="9"/>
  <c r="G21" i="9"/>
  <c r="F21" i="9"/>
  <c r="E21" i="9"/>
  <c r="D21" i="9"/>
  <c r="C21" i="9"/>
  <c r="B21" i="9"/>
  <c r="C20" i="9"/>
  <c r="B20" i="9"/>
  <c r="G19" i="9"/>
  <c r="F19" i="9"/>
  <c r="E19" i="9"/>
  <c r="D19" i="9"/>
  <c r="C19" i="9"/>
  <c r="B19" i="9"/>
  <c r="G18" i="9"/>
  <c r="F18" i="9"/>
  <c r="E18" i="9"/>
  <c r="D18" i="9"/>
  <c r="C18" i="9"/>
  <c r="B18" i="9"/>
  <c r="G17" i="9"/>
  <c r="F17" i="9"/>
  <c r="E17" i="9"/>
  <c r="D17" i="9"/>
  <c r="C17" i="9"/>
  <c r="B17" i="9"/>
  <c r="G16" i="9"/>
  <c r="F16" i="9"/>
  <c r="E16" i="9"/>
  <c r="D16" i="9"/>
  <c r="C16" i="9"/>
  <c r="B16" i="9"/>
  <c r="F12" i="9"/>
  <c r="H12" i="9" s="1"/>
  <c r="G11" i="9"/>
  <c r="F11" i="9"/>
  <c r="E11" i="9"/>
  <c r="D11" i="9"/>
  <c r="C11" i="9"/>
  <c r="B11" i="9"/>
  <c r="G10" i="9"/>
  <c r="F10" i="9"/>
  <c r="E10" i="9"/>
  <c r="D10" i="9"/>
  <c r="C10" i="9"/>
  <c r="B10" i="9"/>
  <c r="E8" i="9"/>
  <c r="D8" i="9"/>
  <c r="C8" i="9"/>
  <c r="B8" i="9"/>
  <c r="G7" i="9"/>
  <c r="G9" i="9" s="1"/>
  <c r="F7" i="9"/>
  <c r="F9" i="9" s="1"/>
  <c r="E7" i="9"/>
  <c r="D7" i="9"/>
  <c r="C7" i="9"/>
  <c r="B7" i="9"/>
  <c r="P85" i="8" l="1"/>
  <c r="I85" i="8"/>
  <c r="H85" i="8"/>
  <c r="G85" i="8"/>
  <c r="F85" i="8"/>
  <c r="E85" i="8"/>
  <c r="J85" i="8"/>
  <c r="I83" i="8"/>
  <c r="J83" i="8"/>
  <c r="C86" i="8"/>
  <c r="F56" i="8"/>
  <c r="D56" i="8"/>
  <c r="I56" i="8"/>
  <c r="H56" i="8"/>
  <c r="K56" i="8"/>
  <c r="K51" i="8"/>
  <c r="K54" i="8"/>
  <c r="K82" i="8" s="1"/>
  <c r="K55" i="8"/>
  <c r="K83" i="8" s="1"/>
  <c r="K52" i="8"/>
  <c r="K53" i="8"/>
  <c r="K81" i="8" s="1"/>
  <c r="E56" i="8"/>
  <c r="J56" i="8"/>
  <c r="P56" i="8"/>
  <c r="G56" i="8"/>
  <c r="O28" i="8"/>
  <c r="N28" i="8"/>
  <c r="G28" i="8"/>
  <c r="F28" i="8"/>
  <c r="E28" i="8"/>
  <c r="D28" i="8"/>
  <c r="K28" i="8"/>
  <c r="H28" i="8"/>
  <c r="M28" i="8"/>
  <c r="L28" i="8"/>
  <c r="J28" i="8"/>
  <c r="I28" i="8"/>
  <c r="C29" i="8"/>
  <c r="K78" i="8"/>
  <c r="K77" i="8"/>
  <c r="C58" i="8"/>
  <c r="H20" i="9"/>
  <c r="H76" i="5"/>
  <c r="I76" i="5"/>
  <c r="J23" i="5"/>
  <c r="J19" i="5"/>
  <c r="J48" i="5" s="1"/>
  <c r="J76" i="5" s="1"/>
  <c r="J79" i="5"/>
  <c r="J21" i="5"/>
  <c r="J45" i="5"/>
  <c r="J80" i="5"/>
  <c r="K9" i="5"/>
  <c r="J18" i="5"/>
  <c r="J47" i="5" s="1"/>
  <c r="J75" i="5" s="1"/>
  <c r="J73" i="5"/>
  <c r="J17" i="5"/>
  <c r="J46" i="5" s="1"/>
  <c r="J74" i="5" s="1"/>
  <c r="J22" i="5"/>
  <c r="J81" i="5"/>
  <c r="J20" i="5"/>
  <c r="J49" i="5" s="1"/>
  <c r="C55" i="5"/>
  <c r="C82" i="5"/>
  <c r="D81" i="5"/>
  <c r="E81" i="5"/>
  <c r="F81" i="5"/>
  <c r="G81" i="5"/>
  <c r="H81" i="5"/>
  <c r="G49" i="5"/>
  <c r="F49" i="5"/>
  <c r="E49" i="5"/>
  <c r="H49" i="5"/>
  <c r="I49" i="5"/>
  <c r="C24" i="5"/>
  <c r="J24" i="5" s="1"/>
  <c r="D23" i="5"/>
  <c r="E23" i="5"/>
  <c r="F23" i="5"/>
  <c r="G23" i="5"/>
  <c r="H23" i="5"/>
  <c r="I23" i="5"/>
  <c r="I11" i="5"/>
  <c r="G90" i="9"/>
  <c r="L8" i="8"/>
  <c r="M7" i="8"/>
  <c r="C28" i="9"/>
  <c r="K9" i="8"/>
  <c r="J11" i="8"/>
  <c r="J15" i="8" s="1"/>
  <c r="K13" i="8"/>
  <c r="H70" i="9"/>
  <c r="H65" i="9"/>
  <c r="H89" i="9"/>
  <c r="H83" i="9"/>
  <c r="H51" i="9"/>
  <c r="H62" i="9"/>
  <c r="H33" i="9"/>
  <c r="D56" i="9"/>
  <c r="H87" i="9"/>
  <c r="D98" i="9"/>
  <c r="D99" i="9" s="1"/>
  <c r="H59" i="9"/>
  <c r="G98" i="9"/>
  <c r="G99" i="9" s="1"/>
  <c r="H45" i="9"/>
  <c r="E98" i="9"/>
  <c r="E99" i="9" s="1"/>
  <c r="H97" i="9"/>
  <c r="H48" i="9"/>
  <c r="C56" i="9"/>
  <c r="H40" i="9"/>
  <c r="D52" i="9"/>
  <c r="B34" i="9"/>
  <c r="E34" i="9"/>
  <c r="H19" i="9"/>
  <c r="H23" i="9"/>
  <c r="H31" i="9"/>
  <c r="D9" i="9"/>
  <c r="D13" i="9" s="1"/>
  <c r="E9" i="9"/>
  <c r="E13" i="9" s="1"/>
  <c r="G43" i="9"/>
  <c r="G34" i="9"/>
  <c r="H41" i="9"/>
  <c r="G86" i="9"/>
  <c r="E73" i="9"/>
  <c r="B90" i="9"/>
  <c r="D90" i="9"/>
  <c r="C34" i="9"/>
  <c r="D34" i="9"/>
  <c r="F34" i="9"/>
  <c r="H11" i="9"/>
  <c r="H7" i="9"/>
  <c r="C80" i="9"/>
  <c r="E86" i="9"/>
  <c r="H72" i="9"/>
  <c r="F86" i="9"/>
  <c r="B9" i="9"/>
  <c r="B13" i="9" s="1"/>
  <c r="H42" i="9"/>
  <c r="H92" i="9"/>
  <c r="H82" i="9"/>
  <c r="H61" i="9"/>
  <c r="G80" i="9"/>
  <c r="H49" i="9"/>
  <c r="H63" i="9"/>
  <c r="H50" i="9"/>
  <c r="B43" i="9"/>
  <c r="H75" i="9"/>
  <c r="H21" i="9"/>
  <c r="H54" i="9"/>
  <c r="H79" i="9"/>
  <c r="H10" i="9"/>
  <c r="H18" i="9"/>
  <c r="H46" i="9"/>
  <c r="F56" i="9"/>
  <c r="H68" i="9"/>
  <c r="H88" i="9"/>
  <c r="H8" i="9"/>
  <c r="D28" i="9"/>
  <c r="F52" i="9"/>
  <c r="H96" i="9"/>
  <c r="H26" i="9"/>
  <c r="H58" i="9"/>
  <c r="H32" i="9"/>
  <c r="H60" i="9"/>
  <c r="H71" i="9"/>
  <c r="H81" i="9"/>
  <c r="C90" i="9"/>
  <c r="F43" i="9"/>
  <c r="H55" i="9"/>
  <c r="C86" i="9"/>
  <c r="H64" i="9"/>
  <c r="H47" i="9"/>
  <c r="H78" i="9"/>
  <c r="H17" i="9"/>
  <c r="C52" i="9"/>
  <c r="H77" i="9"/>
  <c r="D86" i="9"/>
  <c r="B28" i="9"/>
  <c r="H27" i="9"/>
  <c r="B73" i="9"/>
  <c r="B99" i="9"/>
  <c r="D43" i="9"/>
  <c r="B52" i="9"/>
  <c r="E43" i="9"/>
  <c r="F13" i="9"/>
  <c r="G13" i="9"/>
  <c r="H30" i="9"/>
  <c r="D73" i="9"/>
  <c r="C43" i="9"/>
  <c r="E80" i="9"/>
  <c r="H22" i="9"/>
  <c r="H66" i="9"/>
  <c r="F80" i="9"/>
  <c r="H16" i="9"/>
  <c r="C73" i="9"/>
  <c r="H76" i="9"/>
  <c r="C9" i="9"/>
  <c r="C13" i="9" s="1"/>
  <c r="E52" i="9"/>
  <c r="E56" i="9"/>
  <c r="F98" i="9"/>
  <c r="F99" i="9" s="1"/>
  <c r="B80" i="9"/>
  <c r="G52" i="9"/>
  <c r="F73" i="9"/>
  <c r="D80" i="9"/>
  <c r="B86" i="9"/>
  <c r="G69" i="9"/>
  <c r="H69" i="9" s="1"/>
  <c r="C87" i="8" l="1"/>
  <c r="D87" i="8" s="1"/>
  <c r="D86" i="8"/>
  <c r="J84" i="8"/>
  <c r="H86" i="8"/>
  <c r="F86" i="8"/>
  <c r="E86" i="8"/>
  <c r="G86" i="8"/>
  <c r="K86" i="8"/>
  <c r="I86" i="8"/>
  <c r="P86" i="8"/>
  <c r="J86" i="8"/>
  <c r="K84" i="8"/>
  <c r="I57" i="8"/>
  <c r="H57" i="8"/>
  <c r="J57" i="8"/>
  <c r="K57" i="8"/>
  <c r="F57" i="8"/>
  <c r="G57" i="8"/>
  <c r="D57" i="8"/>
  <c r="E57" i="8"/>
  <c r="P57" i="8"/>
  <c r="L56" i="8"/>
  <c r="L84" i="8" s="1"/>
  <c r="L51" i="8"/>
  <c r="L52" i="8"/>
  <c r="L54" i="8"/>
  <c r="L82" i="8" s="1"/>
  <c r="L57" i="8"/>
  <c r="L55" i="8"/>
  <c r="L83" i="8" s="1"/>
  <c r="L53" i="8"/>
  <c r="G29" i="8"/>
  <c r="F29" i="8"/>
  <c r="E29" i="8"/>
  <c r="D29" i="8"/>
  <c r="O29" i="8"/>
  <c r="N29" i="8"/>
  <c r="M29" i="8"/>
  <c r="L29" i="8"/>
  <c r="H29" i="8"/>
  <c r="K29" i="8"/>
  <c r="J29" i="8"/>
  <c r="I29" i="8"/>
  <c r="C30" i="8"/>
  <c r="L77" i="8"/>
  <c r="L78" i="8"/>
  <c r="C59" i="8"/>
  <c r="J77" i="5"/>
  <c r="J50" i="5"/>
  <c r="I77" i="5"/>
  <c r="D82" i="5"/>
  <c r="C83" i="5"/>
  <c r="K83" i="5" s="1"/>
  <c r="E82" i="5"/>
  <c r="F82" i="5"/>
  <c r="G82" i="5"/>
  <c r="H82" i="5"/>
  <c r="I82" i="5"/>
  <c r="J82" i="5"/>
  <c r="C56" i="5"/>
  <c r="C25" i="5"/>
  <c r="K25" i="5" s="1"/>
  <c r="D24" i="5"/>
  <c r="E24" i="5"/>
  <c r="F24" i="5"/>
  <c r="G24" i="5"/>
  <c r="H24" i="5"/>
  <c r="I24" i="5"/>
  <c r="H50" i="5"/>
  <c r="I50" i="5"/>
  <c r="F50" i="5"/>
  <c r="E50" i="5"/>
  <c r="D50" i="5"/>
  <c r="G50" i="5"/>
  <c r="K23" i="5"/>
  <c r="K74" i="5"/>
  <c r="K17" i="5"/>
  <c r="K82" i="5"/>
  <c r="K80" i="5"/>
  <c r="L9" i="5"/>
  <c r="K45" i="5"/>
  <c r="K21" i="5"/>
  <c r="K50" i="5" s="1"/>
  <c r="K18" i="5"/>
  <c r="K47" i="5" s="1"/>
  <c r="K75" i="5" s="1"/>
  <c r="K73" i="5"/>
  <c r="K22" i="5"/>
  <c r="K20" i="5"/>
  <c r="K49" i="5" s="1"/>
  <c r="K77" i="5" s="1"/>
  <c r="K19" i="5"/>
  <c r="K48" i="5" s="1"/>
  <c r="K76" i="5" s="1"/>
  <c r="K81" i="5"/>
  <c r="K46" i="5"/>
  <c r="K24" i="5"/>
  <c r="J11" i="5"/>
  <c r="L13" i="8"/>
  <c r="L9" i="8"/>
  <c r="K11" i="8"/>
  <c r="K15" i="8" s="1"/>
  <c r="M8" i="8"/>
  <c r="N7" i="8"/>
  <c r="H28" i="9"/>
  <c r="H90" i="9"/>
  <c r="H34" i="9"/>
  <c r="F93" i="9"/>
  <c r="H86" i="9"/>
  <c r="G73" i="9"/>
  <c r="G93" i="9" s="1"/>
  <c r="D93" i="9"/>
  <c r="H56" i="9"/>
  <c r="E93" i="9"/>
  <c r="H98" i="9"/>
  <c r="H99" i="9"/>
  <c r="H52" i="9"/>
  <c r="C93" i="9"/>
  <c r="H43" i="9"/>
  <c r="B93" i="9"/>
  <c r="H13" i="9"/>
  <c r="H9" i="9"/>
  <c r="H80" i="9"/>
  <c r="K85" i="8" l="1"/>
  <c r="P87" i="8"/>
  <c r="G87" i="8"/>
  <c r="H87" i="8"/>
  <c r="F87" i="8"/>
  <c r="J87" i="8"/>
  <c r="C88" i="8"/>
  <c r="D88" i="8" s="1"/>
  <c r="K87" i="8"/>
  <c r="E87" i="8"/>
  <c r="I87" i="8"/>
  <c r="L87" i="8"/>
  <c r="L85" i="8"/>
  <c r="M54" i="8"/>
  <c r="M57" i="8"/>
  <c r="M85" i="8" s="1"/>
  <c r="M52" i="8"/>
  <c r="M53" i="8"/>
  <c r="M55" i="8"/>
  <c r="M83" i="8" s="1"/>
  <c r="M51" i="8"/>
  <c r="M56" i="8"/>
  <c r="M84" i="8" s="1"/>
  <c r="O30" i="8"/>
  <c r="N30" i="8"/>
  <c r="M30" i="8"/>
  <c r="L30" i="8"/>
  <c r="K30" i="8"/>
  <c r="J30" i="8"/>
  <c r="I30" i="8"/>
  <c r="H30" i="8"/>
  <c r="G30" i="8"/>
  <c r="F30" i="8"/>
  <c r="E30" i="8"/>
  <c r="D30" i="8"/>
  <c r="C31" i="8"/>
  <c r="C60" i="8"/>
  <c r="M77" i="8"/>
  <c r="M78" i="8"/>
  <c r="J78" i="5"/>
  <c r="K78" i="5"/>
  <c r="K51" i="5"/>
  <c r="F51" i="5"/>
  <c r="I51" i="5"/>
  <c r="D51" i="5"/>
  <c r="G51" i="5"/>
  <c r="H51" i="5"/>
  <c r="J51" i="5"/>
  <c r="E51" i="5"/>
  <c r="C57" i="5"/>
  <c r="L74" i="5"/>
  <c r="L23" i="5"/>
  <c r="L81" i="5"/>
  <c r="L46" i="5"/>
  <c r="L83" i="5"/>
  <c r="L21" i="5"/>
  <c r="L50" i="5" s="1"/>
  <c r="L78" i="5" s="1"/>
  <c r="M9" i="5"/>
  <c r="L17" i="5"/>
  <c r="L82" i="5"/>
  <c r="L45" i="5"/>
  <c r="L47" i="5"/>
  <c r="L73" i="5"/>
  <c r="L20" i="5"/>
  <c r="L49" i="5" s="1"/>
  <c r="L77" i="5" s="1"/>
  <c r="L22" i="5"/>
  <c r="L51" i="5" s="1"/>
  <c r="L19" i="5"/>
  <c r="L48" i="5" s="1"/>
  <c r="L76" i="5" s="1"/>
  <c r="L75" i="5"/>
  <c r="L24" i="5"/>
  <c r="L18" i="5"/>
  <c r="L25" i="5"/>
  <c r="D25" i="5"/>
  <c r="C26" i="5"/>
  <c r="L26" i="5" s="1"/>
  <c r="E25" i="5"/>
  <c r="F25" i="5"/>
  <c r="G25" i="5"/>
  <c r="H25" i="5"/>
  <c r="I25" i="5"/>
  <c r="J25" i="5"/>
  <c r="C84" i="5"/>
  <c r="D83" i="5"/>
  <c r="E83" i="5"/>
  <c r="F83" i="5"/>
  <c r="G83" i="5"/>
  <c r="H83" i="5"/>
  <c r="I83" i="5"/>
  <c r="J83" i="5"/>
  <c r="N8" i="8"/>
  <c r="O7" i="8"/>
  <c r="M9" i="8"/>
  <c r="L11" i="8"/>
  <c r="L15" i="8" s="1"/>
  <c r="M13" i="8"/>
  <c r="H73" i="9"/>
  <c r="H93" i="9"/>
  <c r="I88" i="8" l="1"/>
  <c r="F88" i="8"/>
  <c r="P88" i="8"/>
  <c r="H88" i="8"/>
  <c r="L88" i="8"/>
  <c r="M88" i="8"/>
  <c r="J88" i="8"/>
  <c r="E88" i="8"/>
  <c r="D58" i="8"/>
  <c r="K88" i="8"/>
  <c r="G88" i="8"/>
  <c r="C89" i="8"/>
  <c r="D89" i="8" s="1"/>
  <c r="M58" i="8"/>
  <c r="N54" i="8"/>
  <c r="N57" i="8"/>
  <c r="N85" i="8" s="1"/>
  <c r="N52" i="8"/>
  <c r="N58" i="8"/>
  <c r="N53" i="8"/>
  <c r="N55" i="8"/>
  <c r="N51" i="8"/>
  <c r="N56" i="8"/>
  <c r="N84" i="8" s="1"/>
  <c r="K11" i="5"/>
  <c r="L52" i="5" s="1"/>
  <c r="F58" i="8"/>
  <c r="E58" i="8"/>
  <c r="I58" i="8"/>
  <c r="J58" i="8"/>
  <c r="G58" i="8"/>
  <c r="H58" i="8"/>
  <c r="L58" i="8"/>
  <c r="P58" i="8"/>
  <c r="K58" i="8"/>
  <c r="O31" i="8"/>
  <c r="H31" i="8"/>
  <c r="F31" i="8"/>
  <c r="D31" i="8"/>
  <c r="N31" i="8"/>
  <c r="E31" i="8"/>
  <c r="M31" i="8"/>
  <c r="I31" i="8"/>
  <c r="L31" i="8"/>
  <c r="K31" i="8"/>
  <c r="J31" i="8"/>
  <c r="G31" i="8"/>
  <c r="C32" i="8"/>
  <c r="C61" i="8"/>
  <c r="L79" i="5"/>
  <c r="K79" i="5"/>
  <c r="L55" i="5"/>
  <c r="C85" i="5"/>
  <c r="E84" i="5"/>
  <c r="D84" i="5"/>
  <c r="F84" i="5"/>
  <c r="G84" i="5"/>
  <c r="H84" i="5"/>
  <c r="I84" i="5"/>
  <c r="J84" i="5"/>
  <c r="K84" i="5"/>
  <c r="L84" i="5"/>
  <c r="C27" i="5"/>
  <c r="D26" i="5"/>
  <c r="D55" i="5" s="1"/>
  <c r="E26" i="5"/>
  <c r="E55" i="5" s="1"/>
  <c r="F26" i="5"/>
  <c r="F55" i="5" s="1"/>
  <c r="G26" i="5"/>
  <c r="G55" i="5" s="1"/>
  <c r="H26" i="5"/>
  <c r="H55" i="5" s="1"/>
  <c r="I26" i="5"/>
  <c r="I55" i="5" s="1"/>
  <c r="J26" i="5"/>
  <c r="J55" i="5" s="1"/>
  <c r="K26" i="5"/>
  <c r="K55" i="5" s="1"/>
  <c r="C58" i="5"/>
  <c r="M74" i="5"/>
  <c r="M23" i="5"/>
  <c r="M83" i="5"/>
  <c r="M48" i="5"/>
  <c r="M21" i="5"/>
  <c r="M50" i="5" s="1"/>
  <c r="M78" i="5" s="1"/>
  <c r="M46" i="5"/>
  <c r="M26" i="5"/>
  <c r="M55" i="5" s="1"/>
  <c r="M45" i="5"/>
  <c r="M82" i="5"/>
  <c r="M47" i="5"/>
  <c r="M18" i="5"/>
  <c r="M73" i="5"/>
  <c r="M84" i="5"/>
  <c r="M76" i="5"/>
  <c r="M20" i="5"/>
  <c r="M49" i="5" s="1"/>
  <c r="M77" i="5" s="1"/>
  <c r="M17" i="5"/>
  <c r="M75" i="5"/>
  <c r="M22" i="5"/>
  <c r="M51" i="5" s="1"/>
  <c r="M79" i="5" s="1"/>
  <c r="M19" i="5"/>
  <c r="M24" i="5"/>
  <c r="M25" i="5"/>
  <c r="N13" i="8"/>
  <c r="N9" i="8"/>
  <c r="M11" i="8"/>
  <c r="M15" i="8" s="1"/>
  <c r="O8" i="8"/>
  <c r="C8" i="6"/>
  <c r="H8" i="6" s="1"/>
  <c r="H4" i="6"/>
  <c r="I1" i="6"/>
  <c r="D59" i="8" l="1"/>
  <c r="M89" i="8"/>
  <c r="E89" i="8"/>
  <c r="F89" i="8"/>
  <c r="N89" i="8"/>
  <c r="K89" i="8"/>
  <c r="G89" i="8"/>
  <c r="J89" i="8"/>
  <c r="H89" i="8"/>
  <c r="I89" i="8"/>
  <c r="M86" i="8"/>
  <c r="L89" i="8"/>
  <c r="C90" i="8"/>
  <c r="D90" i="8" s="1"/>
  <c r="P89" i="8"/>
  <c r="N86" i="8"/>
  <c r="H90" i="8"/>
  <c r="L86" i="8"/>
  <c r="K52" i="5"/>
  <c r="L80" i="5" s="1"/>
  <c r="J52" i="5"/>
  <c r="G52" i="5"/>
  <c r="I52" i="5"/>
  <c r="H52" i="5"/>
  <c r="E52" i="5"/>
  <c r="N59" i="8"/>
  <c r="F52" i="5"/>
  <c r="D52" i="5"/>
  <c r="L11" i="5"/>
  <c r="M53" i="5" s="1"/>
  <c r="L59" i="8"/>
  <c r="M59" i="8"/>
  <c r="P59" i="8"/>
  <c r="J59" i="8"/>
  <c r="K59" i="8"/>
  <c r="E59" i="8"/>
  <c r="G59" i="8"/>
  <c r="F59" i="8"/>
  <c r="H59" i="8"/>
  <c r="I59" i="8"/>
  <c r="O59" i="8"/>
  <c r="O54" i="8"/>
  <c r="O57" i="8"/>
  <c r="O85" i="8" s="1"/>
  <c r="O52" i="8"/>
  <c r="O55" i="8"/>
  <c r="O58" i="8"/>
  <c r="O86" i="8" s="1"/>
  <c r="O53" i="8"/>
  <c r="O51" i="8"/>
  <c r="O56" i="8"/>
  <c r="M52" i="5"/>
  <c r="M80" i="5" s="1"/>
  <c r="K32" i="8"/>
  <c r="J32" i="8"/>
  <c r="I32" i="8"/>
  <c r="H32" i="8"/>
  <c r="G32" i="8"/>
  <c r="F32" i="8"/>
  <c r="O32" i="8"/>
  <c r="N32" i="8"/>
  <c r="M32" i="8"/>
  <c r="L32" i="8"/>
  <c r="E32" i="8"/>
  <c r="D32" i="8"/>
  <c r="C33" i="8"/>
  <c r="L49" i="8"/>
  <c r="C62" i="8"/>
  <c r="J50" i="8"/>
  <c r="J49" i="8"/>
  <c r="K49" i="8"/>
  <c r="M50" i="8"/>
  <c r="K50" i="8"/>
  <c r="L50" i="8"/>
  <c r="M49" i="8"/>
  <c r="D85" i="5"/>
  <c r="C86" i="5"/>
  <c r="E85" i="5"/>
  <c r="F85" i="5"/>
  <c r="G85" i="5"/>
  <c r="H85" i="5"/>
  <c r="I85" i="5"/>
  <c r="J85" i="5"/>
  <c r="K85" i="5"/>
  <c r="L85" i="5"/>
  <c r="D27" i="5"/>
  <c r="D56" i="5" s="1"/>
  <c r="C28" i="5"/>
  <c r="E27" i="5"/>
  <c r="E56" i="5" s="1"/>
  <c r="F27" i="5"/>
  <c r="F56" i="5" s="1"/>
  <c r="G27" i="5"/>
  <c r="G56" i="5" s="1"/>
  <c r="H27" i="5"/>
  <c r="H56" i="5" s="1"/>
  <c r="I27" i="5"/>
  <c r="I56" i="5" s="1"/>
  <c r="J27" i="5"/>
  <c r="J56" i="5" s="1"/>
  <c r="K27" i="5"/>
  <c r="K56" i="5" s="1"/>
  <c r="L27" i="5"/>
  <c r="L56" i="5" s="1"/>
  <c r="M27" i="5"/>
  <c r="M56" i="5" s="1"/>
  <c r="M85" i="5"/>
  <c r="C59" i="5"/>
  <c r="O9" i="8"/>
  <c r="N11" i="8"/>
  <c r="N15" i="8" s="1"/>
  <c r="O13" i="8"/>
  <c r="J1" i="6"/>
  <c r="K1" i="6" s="1"/>
  <c r="I8" i="6"/>
  <c r="H12" i="6"/>
  <c r="D132" i="8" s="1"/>
  <c r="D135" i="8" s="1"/>
  <c r="I4" i="6"/>
  <c r="M90" i="8" l="1"/>
  <c r="L90" i="8"/>
  <c r="F90" i="8"/>
  <c r="D60" i="8"/>
  <c r="I90" i="8"/>
  <c r="J90" i="8"/>
  <c r="K90" i="8"/>
  <c r="C91" i="8"/>
  <c r="D91" i="8" s="1"/>
  <c r="E90" i="8"/>
  <c r="G90" i="8"/>
  <c r="N90" i="8"/>
  <c r="O90" i="8"/>
  <c r="P90" i="8"/>
  <c r="M87" i="8"/>
  <c r="O87" i="8"/>
  <c r="N87" i="8"/>
  <c r="E53" i="5"/>
  <c r="L53" i="5"/>
  <c r="M81" i="5" s="1"/>
  <c r="G53" i="5"/>
  <c r="J53" i="5"/>
  <c r="K53" i="5"/>
  <c r="H53" i="5"/>
  <c r="I53" i="5"/>
  <c r="D53" i="5"/>
  <c r="O60" i="8"/>
  <c r="M60" i="8"/>
  <c r="J60" i="8"/>
  <c r="P60" i="8"/>
  <c r="F60" i="8"/>
  <c r="H60" i="8"/>
  <c r="K60" i="8"/>
  <c r="L60" i="8"/>
  <c r="G60" i="8"/>
  <c r="E60" i="8"/>
  <c r="N60" i="8"/>
  <c r="I60" i="8"/>
  <c r="M11" i="5"/>
  <c r="I54" i="5" s="1"/>
  <c r="O33" i="8"/>
  <c r="N33" i="8"/>
  <c r="E33" i="8"/>
  <c r="D33" i="8"/>
  <c r="K33" i="8"/>
  <c r="G33" i="8"/>
  <c r="I33" i="8"/>
  <c r="H33" i="8"/>
  <c r="M33" i="8"/>
  <c r="L33" i="8"/>
  <c r="J33" i="8"/>
  <c r="F33" i="8"/>
  <c r="C34" i="8"/>
  <c r="O11" i="8"/>
  <c r="O15" i="8" s="1"/>
  <c r="H49" i="8"/>
  <c r="H50" i="8"/>
  <c r="I50" i="8"/>
  <c r="I49" i="8"/>
  <c r="C63" i="8"/>
  <c r="C87" i="5"/>
  <c r="D86" i="5"/>
  <c r="E86" i="5"/>
  <c r="F86" i="5"/>
  <c r="G86" i="5"/>
  <c r="H86" i="5"/>
  <c r="I86" i="5"/>
  <c r="J86" i="5"/>
  <c r="K86" i="5"/>
  <c r="L86" i="5"/>
  <c r="M86" i="5"/>
  <c r="D49" i="5"/>
  <c r="F53" i="5"/>
  <c r="C60" i="5"/>
  <c r="D28" i="5"/>
  <c r="D57" i="5" s="1"/>
  <c r="C29" i="5"/>
  <c r="E28" i="5"/>
  <c r="E57" i="5" s="1"/>
  <c r="F28" i="5"/>
  <c r="F57" i="5" s="1"/>
  <c r="G28" i="5"/>
  <c r="G57" i="5" s="1"/>
  <c r="H28" i="5"/>
  <c r="H57" i="5" s="1"/>
  <c r="I28" i="5"/>
  <c r="I57" i="5" s="1"/>
  <c r="J28" i="5"/>
  <c r="J57" i="5" s="1"/>
  <c r="K28" i="5"/>
  <c r="K57" i="5" s="1"/>
  <c r="L28" i="5"/>
  <c r="L57" i="5" s="1"/>
  <c r="M28" i="5"/>
  <c r="M57" i="5" s="1"/>
  <c r="J8" i="6"/>
  <c r="K8" i="6" s="1"/>
  <c r="L1" i="6"/>
  <c r="I12" i="6"/>
  <c r="E132" i="8" s="1"/>
  <c r="J4" i="6"/>
  <c r="I91" i="8" l="1"/>
  <c r="M91" i="8"/>
  <c r="K91" i="8"/>
  <c r="F91" i="8"/>
  <c r="G91" i="8"/>
  <c r="E91" i="8"/>
  <c r="H91" i="8"/>
  <c r="D61" i="8"/>
  <c r="O91" i="8"/>
  <c r="P91" i="8"/>
  <c r="C92" i="8"/>
  <c r="D92" i="8" s="1"/>
  <c r="J91" i="8"/>
  <c r="L91" i="8"/>
  <c r="N91" i="8"/>
  <c r="N88" i="8"/>
  <c r="O88" i="8"/>
  <c r="P63" i="8"/>
  <c r="D54" i="5"/>
  <c r="E54" i="5"/>
  <c r="H54" i="5"/>
  <c r="G54" i="5"/>
  <c r="M54" i="5"/>
  <c r="L54" i="5"/>
  <c r="K54" i="5"/>
  <c r="J54" i="5"/>
  <c r="F54" i="5"/>
  <c r="N61" i="8"/>
  <c r="F61" i="8"/>
  <c r="K61" i="8"/>
  <c r="M61" i="8"/>
  <c r="H61" i="8"/>
  <c r="I61" i="8"/>
  <c r="J61" i="8"/>
  <c r="L61" i="8"/>
  <c r="P61" i="8"/>
  <c r="G61" i="8"/>
  <c r="E61" i="8"/>
  <c r="O61" i="8"/>
  <c r="G34" i="8"/>
  <c r="G63" i="8" s="1"/>
  <c r="F34" i="8"/>
  <c r="F63" i="8" s="1"/>
  <c r="E34" i="8"/>
  <c r="E63" i="8" s="1"/>
  <c r="D34" i="8"/>
  <c r="D63" i="8" s="1"/>
  <c r="O34" i="8"/>
  <c r="O63" i="8" s="1"/>
  <c r="N34" i="8"/>
  <c r="N63" i="8" s="1"/>
  <c r="M34" i="8"/>
  <c r="M63" i="8" s="1"/>
  <c r="L34" i="8"/>
  <c r="L63" i="8" s="1"/>
  <c r="K34" i="8"/>
  <c r="K63" i="8" s="1"/>
  <c r="J34" i="8"/>
  <c r="J63" i="8" s="1"/>
  <c r="I34" i="8"/>
  <c r="I63" i="8" s="1"/>
  <c r="H34" i="8"/>
  <c r="H63" i="8" s="1"/>
  <c r="C35" i="8"/>
  <c r="C64" i="8"/>
  <c r="C61" i="5"/>
  <c r="C88" i="5"/>
  <c r="D87" i="5"/>
  <c r="E87" i="5"/>
  <c r="F87" i="5"/>
  <c r="G87" i="5"/>
  <c r="H87" i="5"/>
  <c r="I87" i="5"/>
  <c r="J87" i="5"/>
  <c r="K87" i="5"/>
  <c r="L87" i="5"/>
  <c r="M87" i="5"/>
  <c r="D29" i="5"/>
  <c r="D58" i="5" s="1"/>
  <c r="C30" i="5"/>
  <c r="E29" i="5"/>
  <c r="E58" i="5" s="1"/>
  <c r="F29" i="5"/>
  <c r="F58" i="5" s="1"/>
  <c r="G29" i="5"/>
  <c r="G58" i="5" s="1"/>
  <c r="H29" i="5"/>
  <c r="H58" i="5" s="1"/>
  <c r="I29" i="5"/>
  <c r="I58" i="5" s="1"/>
  <c r="J29" i="5"/>
  <c r="J58" i="5" s="1"/>
  <c r="K29" i="5"/>
  <c r="K58" i="5" s="1"/>
  <c r="L29" i="5"/>
  <c r="L58" i="5" s="1"/>
  <c r="M29" i="5"/>
  <c r="M58" i="5" s="1"/>
  <c r="M1" i="6"/>
  <c r="L8" i="6"/>
  <c r="J12" i="6"/>
  <c r="F132" i="8" s="1"/>
  <c r="K4" i="6"/>
  <c r="E92" i="8" l="1"/>
  <c r="F92" i="8"/>
  <c r="I92" i="8"/>
  <c r="J92" i="8"/>
  <c r="O92" i="8"/>
  <c r="K92" i="8"/>
  <c r="L92" i="8"/>
  <c r="M92" i="8"/>
  <c r="N92" i="8"/>
  <c r="P92" i="8"/>
  <c r="C93" i="8"/>
  <c r="D93" i="8" s="1"/>
  <c r="G92" i="8"/>
  <c r="H92" i="8"/>
  <c r="O89" i="8"/>
  <c r="N93" i="8"/>
  <c r="M93" i="8"/>
  <c r="K93" i="8"/>
  <c r="O62" i="8"/>
  <c r="D62" i="8"/>
  <c r="E62" i="8"/>
  <c r="F62" i="8"/>
  <c r="I62" i="8"/>
  <c r="N62" i="8"/>
  <c r="P62" i="8"/>
  <c r="G62" i="8"/>
  <c r="J62" i="8"/>
  <c r="M62" i="8"/>
  <c r="H62" i="8"/>
  <c r="K62" i="8"/>
  <c r="L62" i="8"/>
  <c r="P64" i="8"/>
  <c r="O35" i="8"/>
  <c r="O64" i="8" s="1"/>
  <c r="N35" i="8"/>
  <c r="N64" i="8" s="1"/>
  <c r="M35" i="8"/>
  <c r="M64" i="8" s="1"/>
  <c r="L35" i="8"/>
  <c r="L64" i="8" s="1"/>
  <c r="K35" i="8"/>
  <c r="K64" i="8" s="1"/>
  <c r="J35" i="8"/>
  <c r="J64" i="8" s="1"/>
  <c r="G35" i="8"/>
  <c r="G64" i="8" s="1"/>
  <c r="F35" i="8"/>
  <c r="F64" i="8" s="1"/>
  <c r="E35" i="8"/>
  <c r="E64" i="8" s="1"/>
  <c r="D35" i="8"/>
  <c r="D64" i="8" s="1"/>
  <c r="I35" i="8"/>
  <c r="I64" i="8" s="1"/>
  <c r="H35" i="8"/>
  <c r="H64" i="8" s="1"/>
  <c r="C36" i="8"/>
  <c r="C65" i="8"/>
  <c r="C62" i="5"/>
  <c r="D88" i="5"/>
  <c r="C89" i="5"/>
  <c r="E88" i="5"/>
  <c r="F88" i="5"/>
  <c r="G88" i="5"/>
  <c r="H88" i="5"/>
  <c r="I88" i="5"/>
  <c r="J88" i="5"/>
  <c r="K88" i="5"/>
  <c r="L88" i="5"/>
  <c r="M88" i="5"/>
  <c r="C31" i="5"/>
  <c r="E30" i="5"/>
  <c r="E59" i="5" s="1"/>
  <c r="D30" i="5"/>
  <c r="D59" i="5" s="1"/>
  <c r="F30" i="5"/>
  <c r="F59" i="5" s="1"/>
  <c r="G30" i="5"/>
  <c r="G59" i="5" s="1"/>
  <c r="H30" i="5"/>
  <c r="H59" i="5" s="1"/>
  <c r="I30" i="5"/>
  <c r="I59" i="5" s="1"/>
  <c r="J30" i="5"/>
  <c r="J59" i="5" s="1"/>
  <c r="K30" i="5"/>
  <c r="K59" i="5" s="1"/>
  <c r="L30" i="5"/>
  <c r="L59" i="5" s="1"/>
  <c r="M30" i="5"/>
  <c r="M59" i="5" s="1"/>
  <c r="M8" i="6"/>
  <c r="N1" i="6"/>
  <c r="K12" i="6"/>
  <c r="G132" i="8" s="1"/>
  <c r="L4" i="6"/>
  <c r="E93" i="8" l="1"/>
  <c r="G93" i="8"/>
  <c r="F93" i="8"/>
  <c r="C94" i="8"/>
  <c r="D94" i="8" s="1"/>
  <c r="P93" i="8"/>
  <c r="H93" i="8"/>
  <c r="I93" i="8"/>
  <c r="J93" i="8"/>
  <c r="L93" i="8"/>
  <c r="O93" i="8"/>
  <c r="P65" i="8"/>
  <c r="O36" i="8"/>
  <c r="O65" i="8" s="1"/>
  <c r="N36" i="8"/>
  <c r="N65" i="8" s="1"/>
  <c r="M36" i="8"/>
  <c r="M65" i="8" s="1"/>
  <c r="L36" i="8"/>
  <c r="L65" i="8" s="1"/>
  <c r="E36" i="8"/>
  <c r="E65" i="8" s="1"/>
  <c r="D36" i="8"/>
  <c r="D65" i="8" s="1"/>
  <c r="K36" i="8"/>
  <c r="K65" i="8" s="1"/>
  <c r="F36" i="8"/>
  <c r="F65" i="8" s="1"/>
  <c r="J36" i="8"/>
  <c r="J65" i="8" s="1"/>
  <c r="I36" i="8"/>
  <c r="I65" i="8" s="1"/>
  <c r="H36" i="8"/>
  <c r="H65" i="8" s="1"/>
  <c r="G36" i="8"/>
  <c r="G65" i="8" s="1"/>
  <c r="C37" i="8"/>
  <c r="C66" i="8"/>
  <c r="D31" i="5"/>
  <c r="D60" i="5" s="1"/>
  <c r="C32" i="5"/>
  <c r="E31" i="5"/>
  <c r="E60" i="5" s="1"/>
  <c r="F31" i="5"/>
  <c r="F60" i="5" s="1"/>
  <c r="G31" i="5"/>
  <c r="G60" i="5" s="1"/>
  <c r="H31" i="5"/>
  <c r="H60" i="5" s="1"/>
  <c r="I31" i="5"/>
  <c r="I60" i="5" s="1"/>
  <c r="J31" i="5"/>
  <c r="J60" i="5" s="1"/>
  <c r="K31" i="5"/>
  <c r="K60" i="5" s="1"/>
  <c r="L31" i="5"/>
  <c r="L60" i="5" s="1"/>
  <c r="M31" i="5"/>
  <c r="M60" i="5" s="1"/>
  <c r="C63" i="5"/>
  <c r="D89" i="5"/>
  <c r="C90" i="5"/>
  <c r="E89" i="5"/>
  <c r="F89" i="5"/>
  <c r="G89" i="5"/>
  <c r="H89" i="5"/>
  <c r="I89" i="5"/>
  <c r="J89" i="5"/>
  <c r="K89" i="5"/>
  <c r="L89" i="5"/>
  <c r="M89" i="5"/>
  <c r="O1" i="6"/>
  <c r="N8" i="6"/>
  <c r="L12" i="6"/>
  <c r="H132" i="8" s="1"/>
  <c r="M4" i="6"/>
  <c r="M94" i="8" l="1"/>
  <c r="P94" i="8"/>
  <c r="E94" i="8"/>
  <c r="N94" i="8"/>
  <c r="C95" i="8"/>
  <c r="D95" i="8" s="1"/>
  <c r="F94" i="8"/>
  <c r="O94" i="8"/>
  <c r="I94" i="8"/>
  <c r="K94" i="8"/>
  <c r="G94" i="8"/>
  <c r="H94" i="8"/>
  <c r="J94" i="8"/>
  <c r="L94" i="8"/>
  <c r="N95" i="8"/>
  <c r="E95" i="8"/>
  <c r="M95" i="8"/>
  <c r="J95" i="8"/>
  <c r="L95" i="8"/>
  <c r="P66" i="8"/>
  <c r="K37" i="8"/>
  <c r="K66" i="8" s="1"/>
  <c r="J37" i="8"/>
  <c r="J66" i="8" s="1"/>
  <c r="I37" i="8"/>
  <c r="I66" i="8" s="1"/>
  <c r="H37" i="8"/>
  <c r="H66" i="8" s="1"/>
  <c r="G37" i="8"/>
  <c r="G66" i="8" s="1"/>
  <c r="F37" i="8"/>
  <c r="F66" i="8" s="1"/>
  <c r="O37" i="8"/>
  <c r="O66" i="8" s="1"/>
  <c r="N37" i="8"/>
  <c r="N66" i="8" s="1"/>
  <c r="M37" i="8"/>
  <c r="M66" i="8" s="1"/>
  <c r="L37" i="8"/>
  <c r="L66" i="8" s="1"/>
  <c r="E37" i="8"/>
  <c r="E66" i="8" s="1"/>
  <c r="D37" i="8"/>
  <c r="D66" i="8" s="1"/>
  <c r="C38" i="8"/>
  <c r="C67" i="8"/>
  <c r="C64" i="5"/>
  <c r="C91" i="5"/>
  <c r="D90" i="5"/>
  <c r="E90" i="5"/>
  <c r="F90" i="5"/>
  <c r="G90" i="5"/>
  <c r="H90" i="5"/>
  <c r="I90" i="5"/>
  <c r="J90" i="5"/>
  <c r="K90" i="5"/>
  <c r="L90" i="5"/>
  <c r="M90" i="5"/>
  <c r="C33" i="5"/>
  <c r="D32" i="5"/>
  <c r="D61" i="5" s="1"/>
  <c r="E32" i="5"/>
  <c r="E61" i="5" s="1"/>
  <c r="F32" i="5"/>
  <c r="F61" i="5" s="1"/>
  <c r="G32" i="5"/>
  <c r="G61" i="5" s="1"/>
  <c r="H32" i="5"/>
  <c r="H61" i="5" s="1"/>
  <c r="I32" i="5"/>
  <c r="I61" i="5" s="1"/>
  <c r="J32" i="5"/>
  <c r="J61" i="5" s="1"/>
  <c r="K32" i="5"/>
  <c r="K61" i="5" s="1"/>
  <c r="L32" i="5"/>
  <c r="L61" i="5" s="1"/>
  <c r="M32" i="5"/>
  <c r="M61" i="5" s="1"/>
  <c r="O8" i="6"/>
  <c r="P1" i="6"/>
  <c r="M12" i="6"/>
  <c r="I132" i="8" s="1"/>
  <c r="N4" i="6"/>
  <c r="O95" i="8" l="1"/>
  <c r="P95" i="8"/>
  <c r="F95" i="8"/>
  <c r="G95" i="8"/>
  <c r="H95" i="8"/>
  <c r="I95" i="8"/>
  <c r="C96" i="8"/>
  <c r="D96" i="8" s="1"/>
  <c r="K95" i="8"/>
  <c r="P67" i="8"/>
  <c r="O38" i="8"/>
  <c r="O67" i="8" s="1"/>
  <c r="N38" i="8"/>
  <c r="N67" i="8" s="1"/>
  <c r="F38" i="8"/>
  <c r="F67" i="8" s="1"/>
  <c r="E38" i="8"/>
  <c r="E67" i="8" s="1"/>
  <c r="D38" i="8"/>
  <c r="D67" i="8" s="1"/>
  <c r="I38" i="8"/>
  <c r="I67" i="8" s="1"/>
  <c r="M38" i="8"/>
  <c r="M67" i="8" s="1"/>
  <c r="L38" i="8"/>
  <c r="L67" i="8" s="1"/>
  <c r="K38" i="8"/>
  <c r="K67" i="8" s="1"/>
  <c r="J38" i="8"/>
  <c r="J67" i="8" s="1"/>
  <c r="H38" i="8"/>
  <c r="H67" i="8" s="1"/>
  <c r="G38" i="8"/>
  <c r="G67" i="8" s="1"/>
  <c r="C39" i="8"/>
  <c r="C68" i="8"/>
  <c r="C34" i="5"/>
  <c r="E33" i="5"/>
  <c r="E62" i="5" s="1"/>
  <c r="D33" i="5"/>
  <c r="D62" i="5" s="1"/>
  <c r="F33" i="5"/>
  <c r="F62" i="5" s="1"/>
  <c r="G33" i="5"/>
  <c r="G62" i="5" s="1"/>
  <c r="H33" i="5"/>
  <c r="H62" i="5" s="1"/>
  <c r="I33" i="5"/>
  <c r="I62" i="5" s="1"/>
  <c r="J33" i="5"/>
  <c r="J62" i="5" s="1"/>
  <c r="K33" i="5"/>
  <c r="K62" i="5" s="1"/>
  <c r="L33" i="5"/>
  <c r="L62" i="5" s="1"/>
  <c r="M33" i="5"/>
  <c r="M62" i="5" s="1"/>
  <c r="D91" i="5"/>
  <c r="C92" i="5"/>
  <c r="E91" i="5"/>
  <c r="F91" i="5"/>
  <c r="G91" i="5"/>
  <c r="H91" i="5"/>
  <c r="I91" i="5"/>
  <c r="J91" i="5"/>
  <c r="K91" i="5"/>
  <c r="L91" i="5"/>
  <c r="M91" i="5"/>
  <c r="C65" i="5"/>
  <c r="Q1" i="6"/>
  <c r="P8" i="6"/>
  <c r="N12" i="6"/>
  <c r="J132" i="8" s="1"/>
  <c r="O4" i="6"/>
  <c r="I96" i="8" l="1"/>
  <c r="L96" i="8"/>
  <c r="G96" i="8"/>
  <c r="E96" i="8"/>
  <c r="H96" i="8"/>
  <c r="M96" i="8"/>
  <c r="N96" i="8"/>
  <c r="C97" i="8"/>
  <c r="D97" i="8" s="1"/>
  <c r="P96" i="8"/>
  <c r="K96" i="8"/>
  <c r="O96" i="8"/>
  <c r="J96" i="8"/>
  <c r="F96" i="8"/>
  <c r="P68" i="8"/>
  <c r="G39" i="8"/>
  <c r="G68" i="8" s="1"/>
  <c r="F39" i="8"/>
  <c r="F68" i="8" s="1"/>
  <c r="E39" i="8"/>
  <c r="E68" i="8" s="1"/>
  <c r="D39" i="8"/>
  <c r="D68" i="8" s="1"/>
  <c r="O39" i="8"/>
  <c r="O68" i="8" s="1"/>
  <c r="N39" i="8"/>
  <c r="N68" i="8" s="1"/>
  <c r="M39" i="8"/>
  <c r="M68" i="8" s="1"/>
  <c r="L39" i="8"/>
  <c r="L68" i="8" s="1"/>
  <c r="K39" i="8"/>
  <c r="K68" i="8" s="1"/>
  <c r="J39" i="8"/>
  <c r="J68" i="8" s="1"/>
  <c r="I39" i="8"/>
  <c r="I68" i="8" s="1"/>
  <c r="H39" i="8"/>
  <c r="H68" i="8" s="1"/>
  <c r="C40" i="8"/>
  <c r="C69" i="8"/>
  <c r="C66" i="5"/>
  <c r="C93" i="5"/>
  <c r="D92" i="5"/>
  <c r="E92" i="5"/>
  <c r="F92" i="5"/>
  <c r="G92" i="5"/>
  <c r="H92" i="5"/>
  <c r="I92" i="5"/>
  <c r="J92" i="5"/>
  <c r="K92" i="5"/>
  <c r="L92" i="5"/>
  <c r="M92" i="5"/>
  <c r="D34" i="5"/>
  <c r="D63" i="5" s="1"/>
  <c r="C35" i="5"/>
  <c r="E34" i="5"/>
  <c r="E63" i="5" s="1"/>
  <c r="F34" i="5"/>
  <c r="F63" i="5" s="1"/>
  <c r="G34" i="5"/>
  <c r="G63" i="5" s="1"/>
  <c r="H34" i="5"/>
  <c r="H63" i="5" s="1"/>
  <c r="I34" i="5"/>
  <c r="I63" i="5" s="1"/>
  <c r="J34" i="5"/>
  <c r="J63" i="5" s="1"/>
  <c r="K34" i="5"/>
  <c r="K63" i="5" s="1"/>
  <c r="L34" i="5"/>
  <c r="L63" i="5" s="1"/>
  <c r="M34" i="5"/>
  <c r="M63" i="5" s="1"/>
  <c r="Q8" i="6"/>
  <c r="R1" i="6"/>
  <c r="O12" i="6"/>
  <c r="K132" i="8" s="1"/>
  <c r="P4" i="6"/>
  <c r="G97" i="8" l="1"/>
  <c r="H97" i="8"/>
  <c r="L97" i="8"/>
  <c r="E97" i="8"/>
  <c r="F97" i="8"/>
  <c r="I97" i="8"/>
  <c r="C98" i="8"/>
  <c r="D98" i="8" s="1"/>
  <c r="J97" i="8"/>
  <c r="O97" i="8"/>
  <c r="K97" i="8"/>
  <c r="P97" i="8"/>
  <c r="M97" i="8"/>
  <c r="N97" i="8"/>
  <c r="P69" i="8"/>
  <c r="O40" i="8"/>
  <c r="O69" i="8" s="1"/>
  <c r="N40" i="8"/>
  <c r="N69" i="8" s="1"/>
  <c r="M40" i="8"/>
  <c r="M69" i="8" s="1"/>
  <c r="L40" i="8"/>
  <c r="L69" i="8" s="1"/>
  <c r="K40" i="8"/>
  <c r="K69" i="8" s="1"/>
  <c r="J40" i="8"/>
  <c r="J69" i="8" s="1"/>
  <c r="E40" i="8"/>
  <c r="E69" i="8" s="1"/>
  <c r="D40" i="8"/>
  <c r="D69" i="8" s="1"/>
  <c r="H40" i="8"/>
  <c r="H69" i="8" s="1"/>
  <c r="I40" i="8"/>
  <c r="I69" i="8" s="1"/>
  <c r="F40" i="8"/>
  <c r="F69" i="8" s="1"/>
  <c r="G40" i="8"/>
  <c r="G69" i="8" s="1"/>
  <c r="C41" i="8"/>
  <c r="C70" i="8"/>
  <c r="D93" i="5"/>
  <c r="C94" i="5"/>
  <c r="E93" i="5"/>
  <c r="F93" i="5"/>
  <c r="G93" i="5"/>
  <c r="H93" i="5"/>
  <c r="I93" i="5"/>
  <c r="J93" i="5"/>
  <c r="K93" i="5"/>
  <c r="L93" i="5"/>
  <c r="M93" i="5"/>
  <c r="C67" i="5"/>
  <c r="C36" i="5"/>
  <c r="D35" i="5"/>
  <c r="D64" i="5" s="1"/>
  <c r="E35" i="5"/>
  <c r="E64" i="5" s="1"/>
  <c r="F35" i="5"/>
  <c r="F64" i="5" s="1"/>
  <c r="G35" i="5"/>
  <c r="G64" i="5" s="1"/>
  <c r="H35" i="5"/>
  <c r="H64" i="5" s="1"/>
  <c r="I35" i="5"/>
  <c r="I64" i="5" s="1"/>
  <c r="J35" i="5"/>
  <c r="J64" i="5" s="1"/>
  <c r="K35" i="5"/>
  <c r="K64" i="5" s="1"/>
  <c r="L35" i="5"/>
  <c r="L64" i="5" s="1"/>
  <c r="M35" i="5"/>
  <c r="M64" i="5" s="1"/>
  <c r="S1" i="6"/>
  <c r="R8" i="6"/>
  <c r="P12" i="6"/>
  <c r="L132" i="8" s="1"/>
  <c r="Q4" i="6"/>
  <c r="G98" i="8" l="1"/>
  <c r="N98" i="8"/>
  <c r="C99" i="8"/>
  <c r="D99" i="8" s="1"/>
  <c r="P98" i="8"/>
  <c r="M98" i="8"/>
  <c r="K98" i="8"/>
  <c r="E98" i="8"/>
  <c r="J98" i="8"/>
  <c r="I98" i="8"/>
  <c r="H98" i="8"/>
  <c r="L98" i="8"/>
  <c r="O98" i="8"/>
  <c r="F98" i="8"/>
  <c r="L99" i="8"/>
  <c r="J99" i="8"/>
  <c r="I99" i="8"/>
  <c r="H99" i="8"/>
  <c r="G99" i="8"/>
  <c r="K99" i="8"/>
  <c r="P70" i="8"/>
  <c r="N41" i="8"/>
  <c r="N70" i="8" s="1"/>
  <c r="M41" i="8"/>
  <c r="M70" i="8" s="1"/>
  <c r="L41" i="8"/>
  <c r="L70" i="8" s="1"/>
  <c r="K41" i="8"/>
  <c r="K70" i="8" s="1"/>
  <c r="F41" i="8"/>
  <c r="F70" i="8" s="1"/>
  <c r="O41" i="8"/>
  <c r="O70" i="8" s="1"/>
  <c r="E41" i="8"/>
  <c r="E70" i="8" s="1"/>
  <c r="J41" i="8"/>
  <c r="J70" i="8" s="1"/>
  <c r="I41" i="8"/>
  <c r="I70" i="8" s="1"/>
  <c r="G41" i="8"/>
  <c r="G70" i="8" s="1"/>
  <c r="H41" i="8"/>
  <c r="H70" i="8" s="1"/>
  <c r="D41" i="8"/>
  <c r="D70" i="8" s="1"/>
  <c r="C42" i="8"/>
  <c r="C71" i="8"/>
  <c r="C100" i="8"/>
  <c r="D100" i="8" s="1"/>
  <c r="C68" i="5"/>
  <c r="D94" i="5"/>
  <c r="C95" i="5"/>
  <c r="E94" i="5"/>
  <c r="F94" i="5"/>
  <c r="G94" i="5"/>
  <c r="H94" i="5"/>
  <c r="I94" i="5"/>
  <c r="J94" i="5"/>
  <c r="K94" i="5"/>
  <c r="L94" i="5"/>
  <c r="M94" i="5"/>
  <c r="C37" i="5"/>
  <c r="E36" i="5"/>
  <c r="E65" i="5" s="1"/>
  <c r="D36" i="5"/>
  <c r="D65" i="5" s="1"/>
  <c r="F36" i="5"/>
  <c r="F65" i="5" s="1"/>
  <c r="G36" i="5"/>
  <c r="G65" i="5" s="1"/>
  <c r="H36" i="5"/>
  <c r="H65" i="5" s="1"/>
  <c r="I36" i="5"/>
  <c r="I65" i="5" s="1"/>
  <c r="J36" i="5"/>
  <c r="J65" i="5" s="1"/>
  <c r="K36" i="5"/>
  <c r="K65" i="5" s="1"/>
  <c r="L36" i="5"/>
  <c r="L65" i="5" s="1"/>
  <c r="M36" i="5"/>
  <c r="M65" i="5" s="1"/>
  <c r="S8" i="6"/>
  <c r="T1" i="6"/>
  <c r="Q12" i="6"/>
  <c r="M132" i="8" s="1"/>
  <c r="R4" i="6"/>
  <c r="P99" i="8" l="1"/>
  <c r="N99" i="8"/>
  <c r="M99" i="8"/>
  <c r="O99" i="8"/>
  <c r="F99" i="8"/>
  <c r="E99" i="8"/>
  <c r="P100" i="8"/>
  <c r="O100" i="8"/>
  <c r="N100" i="8"/>
  <c r="J100" i="8"/>
  <c r="I100" i="8"/>
  <c r="E100" i="8"/>
  <c r="M100" i="8"/>
  <c r="K100" i="8"/>
  <c r="H100" i="8"/>
  <c r="L100" i="8"/>
  <c r="G100" i="8"/>
  <c r="F100" i="8"/>
  <c r="P71" i="8"/>
  <c r="K42" i="8"/>
  <c r="K71" i="8" s="1"/>
  <c r="J42" i="8"/>
  <c r="J71" i="8" s="1"/>
  <c r="I42" i="8"/>
  <c r="I71" i="8" s="1"/>
  <c r="H42" i="8"/>
  <c r="H71" i="8" s="1"/>
  <c r="G42" i="8"/>
  <c r="G71" i="8" s="1"/>
  <c r="F42" i="8"/>
  <c r="F71" i="8" s="1"/>
  <c r="E42" i="8"/>
  <c r="E71" i="8" s="1"/>
  <c r="O42" i="8"/>
  <c r="O71" i="8" s="1"/>
  <c r="N42" i="8"/>
  <c r="N71" i="8" s="1"/>
  <c r="M42" i="8"/>
  <c r="M71" i="8" s="1"/>
  <c r="L42" i="8"/>
  <c r="L71" i="8" s="1"/>
  <c r="D42" i="8"/>
  <c r="D71" i="8" s="1"/>
  <c r="C43" i="8"/>
  <c r="C101" i="8"/>
  <c r="D101" i="8" s="1"/>
  <c r="C72" i="8"/>
  <c r="C96" i="5"/>
  <c r="D95" i="5"/>
  <c r="E95" i="5"/>
  <c r="F95" i="5"/>
  <c r="G95" i="5"/>
  <c r="H95" i="5"/>
  <c r="I95" i="5"/>
  <c r="J95" i="5"/>
  <c r="K95" i="5"/>
  <c r="L95" i="5"/>
  <c r="M95" i="5"/>
  <c r="C38" i="5"/>
  <c r="D37" i="5"/>
  <c r="D66" i="5" s="1"/>
  <c r="E37" i="5"/>
  <c r="E66" i="5" s="1"/>
  <c r="F37" i="5"/>
  <c r="F66" i="5" s="1"/>
  <c r="G37" i="5"/>
  <c r="G66" i="5" s="1"/>
  <c r="H37" i="5"/>
  <c r="H66" i="5" s="1"/>
  <c r="I37" i="5"/>
  <c r="I66" i="5" s="1"/>
  <c r="J37" i="5"/>
  <c r="J66" i="5" s="1"/>
  <c r="K37" i="5"/>
  <c r="K66" i="5" s="1"/>
  <c r="L37" i="5"/>
  <c r="L66" i="5" s="1"/>
  <c r="M37" i="5"/>
  <c r="M66" i="5" s="1"/>
  <c r="U1" i="6"/>
  <c r="T8" i="6"/>
  <c r="R12" i="6"/>
  <c r="N132" i="8" s="1"/>
  <c r="S4" i="6"/>
  <c r="O104" i="8" l="1"/>
  <c r="O107" i="8" s="1"/>
  <c r="N104" i="8"/>
  <c r="N107" i="8" s="1"/>
  <c r="H101" i="8"/>
  <c r="G101" i="8"/>
  <c r="F101" i="8"/>
  <c r="E101" i="8"/>
  <c r="K101" i="8"/>
  <c r="O101" i="8"/>
  <c r="N101" i="8"/>
  <c r="M101" i="8"/>
  <c r="L101" i="8"/>
  <c r="J101" i="8"/>
  <c r="I101" i="8"/>
  <c r="P101" i="8"/>
  <c r="P72" i="8"/>
  <c r="O43" i="8"/>
  <c r="O72" i="8" s="1"/>
  <c r="N43" i="8"/>
  <c r="N72" i="8" s="1"/>
  <c r="M43" i="8"/>
  <c r="M72" i="8" s="1"/>
  <c r="J43" i="8"/>
  <c r="J72" i="8" s="1"/>
  <c r="H43" i="8"/>
  <c r="H72" i="8" s="1"/>
  <c r="G43" i="8"/>
  <c r="G72" i="8" s="1"/>
  <c r="E43" i="8"/>
  <c r="E72" i="8" s="1"/>
  <c r="D43" i="8"/>
  <c r="D72" i="8" s="1"/>
  <c r="L43" i="8"/>
  <c r="L72" i="8" s="1"/>
  <c r="K43" i="8"/>
  <c r="K72" i="8" s="1"/>
  <c r="I43" i="8"/>
  <c r="I72" i="8" s="1"/>
  <c r="F43" i="8"/>
  <c r="F72" i="8" s="1"/>
  <c r="C44" i="8"/>
  <c r="C73" i="8"/>
  <c r="C102" i="8"/>
  <c r="D102" i="8" s="1"/>
  <c r="D38" i="5"/>
  <c r="D67" i="5" s="1"/>
  <c r="C39" i="5"/>
  <c r="E38" i="5"/>
  <c r="E67" i="5" s="1"/>
  <c r="F38" i="5"/>
  <c r="F67" i="5" s="1"/>
  <c r="G38" i="5"/>
  <c r="G67" i="5" s="1"/>
  <c r="H38" i="5"/>
  <c r="H67" i="5" s="1"/>
  <c r="I38" i="5"/>
  <c r="I67" i="5" s="1"/>
  <c r="J38" i="5"/>
  <c r="J67" i="5" s="1"/>
  <c r="K38" i="5"/>
  <c r="K67" i="5" s="1"/>
  <c r="L38" i="5"/>
  <c r="L67" i="5" s="1"/>
  <c r="M38" i="5"/>
  <c r="M67" i="5" s="1"/>
  <c r="D96" i="5"/>
  <c r="D98" i="5" s="1"/>
  <c r="D100" i="5" s="1"/>
  <c r="E96" i="5"/>
  <c r="E98" i="5" s="1"/>
  <c r="F96" i="5"/>
  <c r="F98" i="5" s="1"/>
  <c r="G96" i="5"/>
  <c r="G98" i="5" s="1"/>
  <c r="H96" i="5"/>
  <c r="H98" i="5" s="1"/>
  <c r="I96" i="5"/>
  <c r="I98" i="5" s="1"/>
  <c r="J96" i="5"/>
  <c r="J98" i="5" s="1"/>
  <c r="K96" i="5"/>
  <c r="K98" i="5" s="1"/>
  <c r="L96" i="5"/>
  <c r="L98" i="5" s="1"/>
  <c r="M96" i="5"/>
  <c r="M98" i="5" s="1"/>
  <c r="U8" i="6"/>
  <c r="V1" i="6"/>
  <c r="S12" i="6"/>
  <c r="O132" i="8" s="1"/>
  <c r="T4" i="6"/>
  <c r="E13" i="5" l="1"/>
  <c r="E100" i="5" s="1"/>
  <c r="P102" i="8"/>
  <c r="N102" i="8"/>
  <c r="M102" i="8"/>
  <c r="L102" i="8"/>
  <c r="K102" i="8"/>
  <c r="O102" i="8"/>
  <c r="J102" i="8"/>
  <c r="I102" i="8"/>
  <c r="F102" i="8"/>
  <c r="F104" i="8" s="1"/>
  <c r="F107" i="8" s="1"/>
  <c r="E102" i="8"/>
  <c r="H102" i="8"/>
  <c r="G102" i="8"/>
  <c r="G104" i="8" s="1"/>
  <c r="G107" i="8" s="1"/>
  <c r="P73" i="8"/>
  <c r="G44" i="8"/>
  <c r="G73" i="8" s="1"/>
  <c r="F44" i="8"/>
  <c r="F73" i="8" s="1"/>
  <c r="E44" i="8"/>
  <c r="E73" i="8" s="1"/>
  <c r="D44" i="8"/>
  <c r="D73" i="8" s="1"/>
  <c r="O44" i="8"/>
  <c r="O73" i="8" s="1"/>
  <c r="N44" i="8"/>
  <c r="N73" i="8" s="1"/>
  <c r="M44" i="8"/>
  <c r="M73" i="8" s="1"/>
  <c r="L44" i="8"/>
  <c r="L73" i="8" s="1"/>
  <c r="K44" i="8"/>
  <c r="K73" i="8" s="1"/>
  <c r="J44" i="8"/>
  <c r="J73" i="8" s="1"/>
  <c r="I44" i="8"/>
  <c r="I73" i="8" s="1"/>
  <c r="H44" i="8"/>
  <c r="H73" i="8" s="1"/>
  <c r="C45" i="8"/>
  <c r="D104" i="8"/>
  <c r="D107" i="8" s="1"/>
  <c r="D111" i="8" s="1"/>
  <c r="H104" i="8"/>
  <c r="H107" i="8" s="1"/>
  <c r="I104" i="8"/>
  <c r="I107" i="8" s="1"/>
  <c r="J104" i="8"/>
  <c r="J107" i="8" s="1"/>
  <c r="K104" i="8"/>
  <c r="K107" i="8" s="1"/>
  <c r="L104" i="8"/>
  <c r="L107" i="8" s="1"/>
  <c r="M104" i="8"/>
  <c r="M107" i="8" s="1"/>
  <c r="C74" i="8"/>
  <c r="D39" i="5"/>
  <c r="D68" i="5" s="1"/>
  <c r="E39" i="5"/>
  <c r="E68" i="5" s="1"/>
  <c r="F39" i="5"/>
  <c r="F68" i="5" s="1"/>
  <c r="G39" i="5"/>
  <c r="G68" i="5" s="1"/>
  <c r="H39" i="5"/>
  <c r="H68" i="5" s="1"/>
  <c r="I39" i="5"/>
  <c r="I68" i="5" s="1"/>
  <c r="J39" i="5"/>
  <c r="J68" i="5" s="1"/>
  <c r="K39" i="5"/>
  <c r="K68" i="5" s="1"/>
  <c r="L39" i="5"/>
  <c r="L68" i="5" s="1"/>
  <c r="M39" i="5"/>
  <c r="M68" i="5" s="1"/>
  <c r="V8" i="6"/>
  <c r="T12" i="6"/>
  <c r="U4" i="6"/>
  <c r="P74" i="8" l="1"/>
  <c r="O45" i="8"/>
  <c r="O74" i="8" s="1"/>
  <c r="N45" i="8"/>
  <c r="N74" i="8" s="1"/>
  <c r="M45" i="8"/>
  <c r="M74" i="8" s="1"/>
  <c r="L45" i="8"/>
  <c r="L74" i="8" s="1"/>
  <c r="K45" i="8"/>
  <c r="K74" i="8" s="1"/>
  <c r="J45" i="8"/>
  <c r="J74" i="8" s="1"/>
  <c r="I45" i="8"/>
  <c r="I74" i="8" s="1"/>
  <c r="F45" i="8"/>
  <c r="F74" i="8" s="1"/>
  <c r="H45" i="8"/>
  <c r="H74" i="8" s="1"/>
  <c r="G45" i="8"/>
  <c r="G74" i="8" s="1"/>
  <c r="E45" i="8"/>
  <c r="E74" i="8" s="1"/>
  <c r="D45" i="8"/>
  <c r="D74" i="8" s="1"/>
  <c r="E104" i="8"/>
  <c r="E107" i="8" s="1"/>
  <c r="E17" i="8" s="1"/>
  <c r="F17" i="8" s="1"/>
  <c r="E101" i="5"/>
  <c r="F13" i="5"/>
  <c r="U12" i="6"/>
  <c r="V4" i="6"/>
  <c r="V12" i="6" s="1"/>
  <c r="G17" i="8" l="1"/>
  <c r="H17" i="8" s="1"/>
  <c r="I17" i="8" s="1"/>
  <c r="J17" i="8" s="1"/>
  <c r="K17" i="8" s="1"/>
  <c r="L17" i="8" s="1"/>
  <c r="M17" i="8" s="1"/>
  <c r="N17" i="8" s="1"/>
  <c r="O17" i="8" s="1"/>
  <c r="E109" i="8"/>
  <c r="F101" i="5"/>
  <c r="G13" i="5"/>
  <c r="F100" i="5"/>
  <c r="M40" i="4"/>
  <c r="L40" i="4"/>
  <c r="M39" i="4"/>
  <c r="L39" i="4"/>
  <c r="M38" i="4"/>
  <c r="L38" i="4"/>
  <c r="M37" i="4"/>
  <c r="L37" i="4"/>
  <c r="M31" i="4"/>
  <c r="L31" i="4"/>
  <c r="M25" i="4"/>
  <c r="L25" i="4"/>
  <c r="M24" i="4"/>
  <c r="L24" i="4"/>
  <c r="D116" i="8"/>
  <c r="D118" i="8" s="1"/>
  <c r="C7" i="2"/>
  <c r="C12" i="2" s="1"/>
  <c r="C16" i="2" s="1"/>
  <c r="E111" i="8" l="1"/>
  <c r="E112" i="8"/>
  <c r="E115" i="8"/>
  <c r="F109" i="8"/>
  <c r="E114" i="8"/>
  <c r="E116" i="8"/>
  <c r="G101" i="5"/>
  <c r="H13" i="5"/>
  <c r="G100" i="5"/>
  <c r="C11" i="2"/>
  <c r="F111" i="8" l="1"/>
  <c r="F112" i="8"/>
  <c r="E118" i="8"/>
  <c r="E119" i="8" s="1"/>
  <c r="E129" i="8" s="1"/>
  <c r="F116" i="8"/>
  <c r="F114" i="8"/>
  <c r="G109" i="8"/>
  <c r="F115" i="8"/>
  <c r="H101" i="5"/>
  <c r="I13" i="5"/>
  <c r="H100" i="5"/>
  <c r="J41" i="4"/>
  <c r="K41" i="4" s="1"/>
  <c r="L41" i="4" s="1"/>
  <c r="K40" i="4"/>
  <c r="J40" i="4"/>
  <c r="I40" i="4"/>
  <c r="H40" i="4"/>
  <c r="G40" i="4"/>
  <c r="F40" i="4"/>
  <c r="E40" i="4"/>
  <c r="D40" i="4"/>
  <c r="K39" i="4"/>
  <c r="J39" i="4"/>
  <c r="I39" i="4"/>
  <c r="H39" i="4"/>
  <c r="G39" i="4"/>
  <c r="F39" i="4"/>
  <c r="E39" i="4"/>
  <c r="D39" i="4"/>
  <c r="K38" i="4"/>
  <c r="J38" i="4"/>
  <c r="I38" i="4"/>
  <c r="H38" i="4"/>
  <c r="G38" i="4"/>
  <c r="K37" i="4"/>
  <c r="J37" i="4"/>
  <c r="I37" i="4"/>
  <c r="H37" i="4"/>
  <c r="G37" i="4"/>
  <c r="G33" i="4" s="1"/>
  <c r="F37" i="4"/>
  <c r="E37" i="4"/>
  <c r="K31" i="4"/>
  <c r="J31" i="4"/>
  <c r="I31" i="4"/>
  <c r="H31" i="4"/>
  <c r="G31" i="4"/>
  <c r="G26" i="4"/>
  <c r="H26" i="4" s="1"/>
  <c r="I26" i="4" s="1"/>
  <c r="J26" i="4" s="1"/>
  <c r="K26" i="4" s="1"/>
  <c r="L26" i="4" s="1"/>
  <c r="M26" i="4" s="1"/>
  <c r="K25" i="4"/>
  <c r="J25" i="4"/>
  <c r="I25" i="4"/>
  <c r="H25" i="4"/>
  <c r="G25" i="4"/>
  <c r="K24" i="4"/>
  <c r="J24" i="4"/>
  <c r="I24" i="4"/>
  <c r="H24" i="4"/>
  <c r="G24" i="4"/>
  <c r="F20" i="4"/>
  <c r="F23" i="4" s="1"/>
  <c r="E20" i="4"/>
  <c r="E23" i="4" s="1"/>
  <c r="D20" i="4"/>
  <c r="D23" i="4" s="1"/>
  <c r="F16" i="4"/>
  <c r="E16" i="4" s="1"/>
  <c r="D16" i="4" s="1"/>
  <c r="F15" i="4"/>
  <c r="G15" i="4" s="1"/>
  <c r="H15" i="4" s="1"/>
  <c r="I15" i="4" s="1"/>
  <c r="J15" i="4" s="1"/>
  <c r="K15" i="4" s="1"/>
  <c r="L15" i="4" s="1"/>
  <c r="M15" i="4" s="1"/>
  <c r="C2" i="4"/>
  <c r="G111" i="8" l="1"/>
  <c r="G112" i="8"/>
  <c r="G114" i="8"/>
  <c r="H109" i="8"/>
  <c r="G115" i="8"/>
  <c r="G116" i="8"/>
  <c r="F118" i="8"/>
  <c r="F119" i="8" s="1"/>
  <c r="F129" i="8" s="1"/>
  <c r="I101" i="5"/>
  <c r="J13" i="5"/>
  <c r="I100" i="5"/>
  <c r="M41" i="4"/>
  <c r="H33" i="4"/>
  <c r="I33" i="4" s="1"/>
  <c r="J33" i="4" s="1"/>
  <c r="K33" i="4" s="1"/>
  <c r="L33" i="4" s="1"/>
  <c r="M33" i="4" s="1"/>
  <c r="E15" i="4"/>
  <c r="G18" i="4"/>
  <c r="G20" i="4" s="1"/>
  <c r="G19" i="4" s="1"/>
  <c r="D38" i="4"/>
  <c r="E38" i="4"/>
  <c r="F38" i="4"/>
  <c r="D27" i="4"/>
  <c r="D41" i="4" s="1"/>
  <c r="D32" i="4"/>
  <c r="D34" i="4" s="1"/>
  <c r="E27" i="4"/>
  <c r="E29" i="4" s="1"/>
  <c r="E32" i="4"/>
  <c r="E34" i="4" s="1"/>
  <c r="F27" i="4"/>
  <c r="F41" i="4" s="1"/>
  <c r="F32" i="4"/>
  <c r="F34" i="4" s="1"/>
  <c r="G16" i="4"/>
  <c r="H111" i="8" l="1"/>
  <c r="H112" i="8"/>
  <c r="H115" i="8"/>
  <c r="H114" i="8"/>
  <c r="I109" i="8"/>
  <c r="H116" i="8"/>
  <c r="G118" i="8"/>
  <c r="G119" i="8" s="1"/>
  <c r="G129" i="8" s="1"/>
  <c r="J101" i="5"/>
  <c r="K13" i="5"/>
  <c r="J100" i="5"/>
  <c r="E41" i="4"/>
  <c r="D29" i="4"/>
  <c r="H18" i="4"/>
  <c r="H21" i="4" s="1"/>
  <c r="G22" i="4"/>
  <c r="G21" i="4"/>
  <c r="F29" i="4"/>
  <c r="D15" i="4"/>
  <c r="H16" i="4"/>
  <c r="I111" i="8" l="1"/>
  <c r="I112" i="8"/>
  <c r="I115" i="8"/>
  <c r="I114" i="8"/>
  <c r="J109" i="8"/>
  <c r="I116" i="8"/>
  <c r="H118" i="8"/>
  <c r="H119" i="8" s="1"/>
  <c r="H129" i="8" s="1"/>
  <c r="K101" i="5"/>
  <c r="L13" i="5"/>
  <c r="K100" i="5"/>
  <c r="G23" i="4"/>
  <c r="G32" i="4" s="1"/>
  <c r="G34" i="4" s="1"/>
  <c r="I18" i="4"/>
  <c r="I22" i="4" s="1"/>
  <c r="H22" i="4"/>
  <c r="H20" i="4"/>
  <c r="H19" i="4" s="1"/>
  <c r="I16" i="4"/>
  <c r="J111" i="8" l="1"/>
  <c r="J112" i="8"/>
  <c r="J116" i="8"/>
  <c r="J115" i="8"/>
  <c r="J114" i="8"/>
  <c r="K109" i="8"/>
  <c r="I118" i="8"/>
  <c r="I119" i="8" s="1"/>
  <c r="I129" i="8" s="1"/>
  <c r="I21" i="4"/>
  <c r="I20" i="4"/>
  <c r="I19" i="4" s="1"/>
  <c r="J18" i="4"/>
  <c r="J22" i="4" s="1"/>
  <c r="L101" i="5"/>
  <c r="M13" i="5"/>
  <c r="L100" i="5"/>
  <c r="G27" i="4"/>
  <c r="G28" i="4" s="1"/>
  <c r="G29" i="4" s="1"/>
  <c r="H23" i="4"/>
  <c r="H32" i="4" s="1"/>
  <c r="H34" i="4" s="1"/>
  <c r="D127" i="8"/>
  <c r="E127" i="8" s="1"/>
  <c r="J16" i="4"/>
  <c r="J21" i="4" l="1"/>
  <c r="K18" i="4"/>
  <c r="L18" i="4" s="1"/>
  <c r="L20" i="4" s="1"/>
  <c r="J20" i="4"/>
  <c r="J19" i="4" s="1"/>
  <c r="K111" i="8"/>
  <c r="K112" i="8"/>
  <c r="J118" i="8"/>
  <c r="J119" i="8" s="1"/>
  <c r="J129" i="8" s="1"/>
  <c r="K114" i="8"/>
  <c r="L109" i="8"/>
  <c r="K116" i="8"/>
  <c r="K115" i="8"/>
  <c r="I23" i="4"/>
  <c r="I32" i="4" s="1"/>
  <c r="I34" i="4" s="1"/>
  <c r="H27" i="4"/>
  <c r="H28" i="4" s="1"/>
  <c r="H29" i="4" s="1"/>
  <c r="F127" i="8"/>
  <c r="M101" i="5"/>
  <c r="M100" i="5"/>
  <c r="D138" i="8"/>
  <c r="D136" i="8"/>
  <c r="D142" i="8"/>
  <c r="E142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L22" i="4"/>
  <c r="K16" i="4"/>
  <c r="L16" i="4" s="1"/>
  <c r="M16" i="4" s="1"/>
  <c r="K22" i="4"/>
  <c r="K20" i="4"/>
  <c r="K21" i="4"/>
  <c r="L21" i="4" l="1"/>
  <c r="M18" i="4"/>
  <c r="J23" i="4"/>
  <c r="J32" i="4" s="1"/>
  <c r="J34" i="4" s="1"/>
  <c r="E131" i="8"/>
  <c r="L111" i="8"/>
  <c r="L112" i="8"/>
  <c r="K118" i="8"/>
  <c r="K119" i="8" s="1"/>
  <c r="K129" i="8" s="1"/>
  <c r="I27" i="4"/>
  <c r="I28" i="4" s="1"/>
  <c r="I29" i="4" s="1"/>
  <c r="L114" i="8"/>
  <c r="L116" i="8"/>
  <c r="L115" i="8"/>
  <c r="M109" i="8"/>
  <c r="F142" i="8"/>
  <c r="G142" i="8" s="1"/>
  <c r="H142" i="8" s="1"/>
  <c r="I142" i="8" s="1"/>
  <c r="J142" i="8" s="1"/>
  <c r="K142" i="8" s="1"/>
  <c r="L142" i="8" s="1"/>
  <c r="M142" i="8" s="1"/>
  <c r="N142" i="8" s="1"/>
  <c r="O142" i="8" s="1"/>
  <c r="E133" i="8"/>
  <c r="F131" i="8"/>
  <c r="G127" i="8"/>
  <c r="M20" i="4"/>
  <c r="M21" i="4"/>
  <c r="M22" i="4"/>
  <c r="L19" i="4"/>
  <c r="L23" i="4"/>
  <c r="K19" i="4"/>
  <c r="K23" i="4"/>
  <c r="J27" i="4" l="1"/>
  <c r="J28" i="4" s="1"/>
  <c r="J29" i="4" s="1"/>
  <c r="M111" i="8"/>
  <c r="M112" i="8"/>
  <c r="L118" i="8"/>
  <c r="L119" i="8" s="1"/>
  <c r="L129" i="8" s="1"/>
  <c r="N109" i="8"/>
  <c r="M114" i="8"/>
  <c r="M116" i="8"/>
  <c r="M115" i="8"/>
  <c r="E135" i="8"/>
  <c r="E136" i="8" s="1"/>
  <c r="F133" i="8"/>
  <c r="G133" i="8" s="1"/>
  <c r="H133" i="8" s="1"/>
  <c r="I133" i="8" s="1"/>
  <c r="J133" i="8" s="1"/>
  <c r="K133" i="8" s="1"/>
  <c r="L133" i="8" s="1"/>
  <c r="M133" i="8" s="1"/>
  <c r="N133" i="8" s="1"/>
  <c r="O133" i="8" s="1"/>
  <c r="G131" i="8"/>
  <c r="H127" i="8"/>
  <c r="L27" i="4"/>
  <c r="L28" i="4" s="1"/>
  <c r="L29" i="4" s="1"/>
  <c r="L32" i="4"/>
  <c r="L34" i="4" s="1"/>
  <c r="M23" i="4"/>
  <c r="M19" i="4"/>
  <c r="K32" i="4"/>
  <c r="K34" i="4" s="1"/>
  <c r="K27" i="4"/>
  <c r="N111" i="8" l="1"/>
  <c r="N112" i="8"/>
  <c r="E138" i="8"/>
  <c r="M118" i="8"/>
  <c r="M119" i="8" s="1"/>
  <c r="M129" i="8" s="1"/>
  <c r="N116" i="8"/>
  <c r="O109" i="8"/>
  <c r="N114" i="8"/>
  <c r="N115" i="8"/>
  <c r="G135" i="8"/>
  <c r="G136" i="8" s="1"/>
  <c r="F135" i="8"/>
  <c r="F138" i="8" s="1"/>
  <c r="H131" i="8"/>
  <c r="H135" i="8" s="1"/>
  <c r="H136" i="8" s="1"/>
  <c r="I127" i="8"/>
  <c r="M32" i="4"/>
  <c r="M34" i="4" s="1"/>
  <c r="M27" i="4"/>
  <c r="M28" i="4" s="1"/>
  <c r="M29" i="4" s="1"/>
  <c r="K28" i="4"/>
  <c r="K29" i="4" s="1"/>
  <c r="O111" i="8" l="1"/>
  <c r="O112" i="8"/>
  <c r="O114" i="8"/>
  <c r="O116" i="8"/>
  <c r="O115" i="8"/>
  <c r="N118" i="8"/>
  <c r="N119" i="8" s="1"/>
  <c r="N129" i="8" s="1"/>
  <c r="G138" i="8"/>
  <c r="F136" i="8"/>
  <c r="H138" i="8"/>
  <c r="I131" i="8"/>
  <c r="I135" i="8" s="1"/>
  <c r="I138" i="8" s="1"/>
  <c r="J127" i="8"/>
  <c r="O118" i="8" l="1"/>
  <c r="O119" i="8" s="1"/>
  <c r="O129" i="8" s="1"/>
  <c r="J131" i="8"/>
  <c r="J135" i="8" s="1"/>
  <c r="J138" i="8" s="1"/>
  <c r="K127" i="8"/>
  <c r="I136" i="8"/>
  <c r="K131" i="8" l="1"/>
  <c r="K135" i="8" s="1"/>
  <c r="K138" i="8" s="1"/>
  <c r="L127" i="8"/>
  <c r="J136" i="8"/>
  <c r="L131" i="8" l="1"/>
  <c r="L135" i="8" s="1"/>
  <c r="L138" i="8" s="1"/>
  <c r="M127" i="8"/>
  <c r="K136" i="8"/>
  <c r="N127" i="8" l="1"/>
  <c r="M131" i="8"/>
  <c r="M135" i="8" s="1"/>
  <c r="M138" i="8" s="1"/>
  <c r="L136" i="8"/>
  <c r="O127" i="8" l="1"/>
  <c r="N131" i="8"/>
  <c r="N135" i="8" s="1"/>
  <c r="N136" i="8" s="1"/>
  <c r="M136" i="8"/>
  <c r="N138" i="8" l="1"/>
  <c r="O131" i="8"/>
  <c r="O135" i="8" s="1"/>
  <c r="O136" i="8" s="1"/>
  <c r="O138" i="8" l="1"/>
  <c r="B15" i="9" l="1"/>
  <c r="C15" i="9"/>
  <c r="D15" i="9"/>
  <c r="E15" i="9"/>
  <c r="F15" i="9"/>
  <c r="G15" i="9"/>
  <c r="H15" i="9"/>
  <c r="B25" i="9"/>
  <c r="C25" i="9"/>
  <c r="D25" i="9"/>
  <c r="E25" i="9"/>
  <c r="F25" i="9"/>
  <c r="G25" i="9"/>
  <c r="H25" i="9"/>
  <c r="B36" i="9"/>
  <c r="C36" i="9"/>
  <c r="D36" i="9"/>
  <c r="E36" i="9"/>
  <c r="F36" i="9"/>
  <c r="G36" i="9"/>
  <c r="H36" i="9"/>
  <c r="B37" i="9"/>
  <c r="C37" i="9"/>
  <c r="D37" i="9"/>
  <c r="E37" i="9"/>
  <c r="F37" i="9"/>
  <c r="G37" i="9"/>
  <c r="H37" i="9"/>
  <c r="B94" i="9"/>
  <c r="C94" i="9"/>
  <c r="D94" i="9"/>
  <c r="E94" i="9"/>
  <c r="F94" i="9"/>
  <c r="G94" i="9"/>
  <c r="H94" i="9"/>
  <c r="B100" i="9"/>
  <c r="C100" i="9"/>
  <c r="D100" i="9"/>
  <c r="E100" i="9"/>
  <c r="F100" i="9"/>
  <c r="G100" i="9"/>
  <c r="H10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Matan Feldman</author>
  </authors>
  <commentList>
    <comment ref="C66" authorId="0" shapeId="0" xr:uid="{7698631E-3F95-4C4D-8964-5EB13FD9E543}">
      <text>
        <r>
          <rPr>
            <sz val="9"/>
            <color indexed="81"/>
            <rFont val="Tahoma"/>
            <family val="2"/>
          </rPr>
          <t xml:space="preserve">Technician Service on Vehicle </t>
        </r>
      </text>
    </comment>
    <comment ref="C71" authorId="0" shapeId="0" xr:uid="{AE4B804E-6E06-4CE2-8679-E076252AC652}">
      <text>
        <r>
          <rPr>
            <sz val="9"/>
            <color indexed="81"/>
            <rFont val="Tahoma"/>
            <family val="2"/>
          </rPr>
          <t xml:space="preserve">Technician Service on Vehicle </t>
        </r>
      </text>
    </comment>
    <comment ref="C76" authorId="0" shapeId="0" xr:uid="{49474547-02FA-4E03-8187-07B5BABE7352}">
      <text>
        <r>
          <rPr>
            <sz val="9"/>
            <color indexed="81"/>
            <rFont val="Tahoma"/>
            <family val="2"/>
          </rPr>
          <t xml:space="preserve"> Digital Content and Services, AppleCare, Apple Pay, licensing and other services. </t>
        </r>
      </text>
    </comment>
    <comment ref="C77" authorId="0" shapeId="0" xr:uid="{434BAE9F-BB04-494C-839C-8FD88E457A83}">
      <text>
        <r>
          <rPr>
            <sz val="9"/>
            <color indexed="81"/>
            <rFont val="Tahoma"/>
            <family val="2"/>
          </rPr>
          <t xml:space="preserve"> AirPods, Apple TV, Apple Watch, Beats products, HomePod, iPod touch and other Apple-branded and third-party accessories.</t>
        </r>
      </text>
    </comment>
    <comment ref="C83" authorId="0" shapeId="0" xr:uid="{9A252BF1-07F6-40A1-B2C9-FFF95AFF7C41}">
      <text>
        <r>
          <rPr>
            <sz val="9"/>
            <color indexed="81"/>
            <rFont val="Tahoma"/>
            <family val="2"/>
          </rPr>
          <t xml:space="preserve"> Digital Content and Services, AppleCare, Apple Pay, licensing and other services. </t>
        </r>
      </text>
    </comment>
    <comment ref="C84" authorId="0" shapeId="0" xr:uid="{8C8252F7-ED08-4BA2-95F6-CC1807D4B707}">
      <text>
        <r>
          <rPr>
            <sz val="9"/>
            <color indexed="81"/>
            <rFont val="Tahoma"/>
            <family val="2"/>
          </rPr>
          <t xml:space="preserve"> AirPods, Apple TV, Apple Watch, Beats products, HomePod, iPod touch and other Apple-branded and third-party accessories.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<sst xmlns="http://schemas.openxmlformats.org/spreadsheetml/2006/main" count="359" uniqueCount="308">
  <si>
    <t>Total</t>
  </si>
  <si>
    <t>Gross Profit</t>
  </si>
  <si>
    <t>Growth rates &amp; margins</t>
  </si>
  <si>
    <t>Revenue growth</t>
  </si>
  <si>
    <t>Gross profit margin</t>
  </si>
  <si>
    <t>R&amp;D % of sales</t>
  </si>
  <si>
    <t>SG&amp;A % of sales</t>
  </si>
  <si>
    <t>Tax rate</t>
  </si>
  <si>
    <t>Previous year's revenues x (1+revenue growth rate)</t>
  </si>
  <si>
    <t>% growth</t>
  </si>
  <si>
    <t>x</t>
  </si>
  <si>
    <t>$ mm except per share</t>
  </si>
  <si>
    <t>Company name</t>
  </si>
  <si>
    <t>Apple</t>
  </si>
  <si>
    <t>Ticker</t>
  </si>
  <si>
    <t>AAPL</t>
  </si>
  <si>
    <t>Circ break 1=off, 0=on</t>
  </si>
  <si>
    <t>Latest closing share price date</t>
  </si>
  <si>
    <t>Latest fiscal year end date</t>
  </si>
  <si>
    <t>Select an operating scenario:</t>
  </si>
  <si>
    <t>Base case</t>
  </si>
  <si>
    <t>INCOME STATEMENT</t>
  </si>
  <si>
    <t xml:space="preserve">Fiscal year  </t>
  </si>
  <si>
    <t>Fiscal year end date</t>
  </si>
  <si>
    <t>WSP Comments</t>
  </si>
  <si>
    <t>Revenue</t>
  </si>
  <si>
    <t>Cost of sales (enter as -)</t>
  </si>
  <si>
    <t>Plug = Revenue - Gross Profit</t>
  </si>
  <si>
    <t>Revenue x Gross Profit Margin forecast</t>
  </si>
  <si>
    <t>Research &amp; development (enter as -)</t>
  </si>
  <si>
    <t>Revenue x R&amp;D % of sales forecast</t>
  </si>
  <si>
    <t>Selling, general &amp; administrative (enter as -)</t>
  </si>
  <si>
    <t>Revenue x SG&amp;A % of sales forecast</t>
  </si>
  <si>
    <t>Operating profit (EBIT)</t>
  </si>
  <si>
    <t>Gross Profit - R&amp;D - SG&amp;A</t>
  </si>
  <si>
    <t>Interest income</t>
  </si>
  <si>
    <t>Reference from interest on cash schedule</t>
  </si>
  <si>
    <t>Interest expense (enter as -)</t>
  </si>
  <si>
    <t>Reference from interest expense schedule</t>
  </si>
  <si>
    <t>Other expense, net (enter as -)</t>
  </si>
  <si>
    <t>Straight-line</t>
  </si>
  <si>
    <t>Pretax profit</t>
  </si>
  <si>
    <t>EBIT + interest income less interest expense less other expense</t>
  </si>
  <si>
    <t>Taxes (enter expense as -)</t>
  </si>
  <si>
    <t>Pre-tax Profit x Tax Rate forecast</t>
  </si>
  <si>
    <t>Net income</t>
  </si>
  <si>
    <t>Pre-tax Profit less taxes</t>
  </si>
  <si>
    <t>Depreciation &amp; amortization</t>
  </si>
  <si>
    <t>Reference from D&amp;A schedule</t>
  </si>
  <si>
    <t>EBITDA</t>
  </si>
  <si>
    <t>EBIT + D&amp;A</t>
  </si>
  <si>
    <t>Stock based compensation</t>
  </si>
  <si>
    <t>WSP assumption: grow SBC in-line with revenue growth</t>
  </si>
  <si>
    <t>Adjusted EBITDA</t>
  </si>
  <si>
    <t>EBITDA + Stock-based compensation</t>
  </si>
  <si>
    <t>From scenario analysis below</t>
  </si>
  <si>
    <t>JP Morgan estimates through 2021: straight-line margin thereafter</t>
  </si>
  <si>
    <t>Activation</t>
  </si>
  <si>
    <t xml:space="preserve">Using </t>
  </si>
  <si>
    <t>Total Activated</t>
  </si>
  <si>
    <t>Subscription Conversion</t>
  </si>
  <si>
    <t>Number of Free Users</t>
  </si>
  <si>
    <t>people</t>
  </si>
  <si>
    <t>Number of Subscribers</t>
  </si>
  <si>
    <t>Subscription Fee</t>
  </si>
  <si>
    <t>Users</t>
  </si>
  <si>
    <t>NEW Yearly Number of Subscribers</t>
  </si>
  <si>
    <t>Cumulative Premium Subscribers</t>
  </si>
  <si>
    <t>Plan A</t>
  </si>
  <si>
    <t>Plan B</t>
  </si>
  <si>
    <t>Plan C</t>
  </si>
  <si>
    <t xml:space="preserve">Total Subscription Revenue </t>
  </si>
  <si>
    <t>Activation %</t>
  </si>
  <si>
    <t>Assume % of customers we could get from our potetnial pool</t>
  </si>
  <si>
    <t xml:space="preserve">How can we model growth? </t>
  </si>
  <si>
    <t>Assume % Subs in Plan</t>
  </si>
  <si>
    <t>Lost Users</t>
  </si>
  <si>
    <t xml:space="preserve">This should cover intrest in new tech </t>
  </si>
  <si>
    <t>New customers</t>
  </si>
  <si>
    <t>Total Customers</t>
  </si>
  <si>
    <t>Cohort Retention</t>
  </si>
  <si>
    <t>Cohort Count</t>
  </si>
  <si>
    <t>Cohort Attrition</t>
  </si>
  <si>
    <t>Total Attrition</t>
  </si>
  <si>
    <t>Attrition %</t>
  </si>
  <si>
    <t>Yr</t>
  </si>
  <si>
    <t>Inputs Rev</t>
  </si>
  <si>
    <t xml:space="preserve">  -You offer a subscription service that includes upgrades or replacements</t>
  </si>
  <si>
    <t>COST item</t>
  </si>
  <si>
    <t>Month</t>
  </si>
  <si>
    <t>Starting Value</t>
  </si>
  <si>
    <t>Increment Value</t>
  </si>
  <si>
    <t>Max Value</t>
  </si>
  <si>
    <t>Technicians</t>
  </si>
  <si>
    <t>Head Count</t>
  </si>
  <si>
    <t>Total Compensation</t>
  </si>
  <si>
    <t>Rev</t>
  </si>
  <si>
    <t>Single Product</t>
  </si>
  <si>
    <t>Churn</t>
  </si>
  <si>
    <t>Requires Tech Team</t>
  </si>
  <si>
    <t xml:space="preserve">Subscription Service </t>
  </si>
  <si>
    <t>Battery Degredation</t>
  </si>
  <si>
    <t>Growth Forecast</t>
  </si>
  <si>
    <t>Total People who own an EV</t>
  </si>
  <si>
    <t>EV Market growth</t>
  </si>
  <si>
    <t xml:space="preserve">    EV Market growth</t>
  </si>
  <si>
    <t>Cost</t>
  </si>
  <si>
    <t>Production</t>
  </si>
  <si>
    <t>Logistics</t>
  </si>
  <si>
    <t xml:space="preserve">Recycling the battery </t>
  </si>
  <si>
    <t>ChargerHelp, Inc.</t>
  </si>
  <si>
    <t>Profit and Loss</t>
  </si>
  <si>
    <t>January - June, 2023</t>
  </si>
  <si>
    <t>Jan 2023</t>
  </si>
  <si>
    <t>Feb 2023</t>
  </si>
  <si>
    <t>Mar 2023</t>
  </si>
  <si>
    <t>Apr 2023</t>
  </si>
  <si>
    <t>May 2023</t>
  </si>
  <si>
    <t>Jun 2023</t>
  </si>
  <si>
    <t>Income</t>
  </si>
  <si>
    <t xml:space="preserve">   40000 Technician Maintenance &amp; Repairs Income</t>
  </si>
  <si>
    <t xml:space="preserve">      40100 Campaigns</t>
  </si>
  <si>
    <t xml:space="preserve">   Total 40000 Technician Maintenance &amp; Repairs Income</t>
  </si>
  <si>
    <t xml:space="preserve">   44000 Workforce Development &amp; Training Income</t>
  </si>
  <si>
    <t xml:space="preserve">   45000 Reliability as a Service (RaaS) Income</t>
  </si>
  <si>
    <t xml:space="preserve">   46000 Warranty Revenue</t>
  </si>
  <si>
    <t>Total Income</t>
  </si>
  <si>
    <t>Cost of Goods Sold</t>
  </si>
  <si>
    <t xml:space="preserve">   50000 Technician Costs</t>
  </si>
  <si>
    <t xml:space="preserve">      50010 Technician Salaries</t>
  </si>
  <si>
    <t xml:space="preserve">      50020 Technician Taxes</t>
  </si>
  <si>
    <t xml:space="preserve">      50030 Technician Benefits</t>
  </si>
  <si>
    <t xml:space="preserve">      50040 Technician Tool Costs</t>
  </si>
  <si>
    <t xml:space="preserve">      50050 Technician Parking Charges</t>
  </si>
  <si>
    <t xml:space="preserve">      50060 Technician Toll Fees</t>
  </si>
  <si>
    <t xml:space="preserve">      50070 Technician - Travel Expense</t>
  </si>
  <si>
    <t xml:space="preserve">      50085 Technician EV costs</t>
  </si>
  <si>
    <t xml:space="preserve">      50095 Technician - Per Diem</t>
  </si>
  <si>
    <t xml:space="preserve">   Total 50000 Technician Costs</t>
  </si>
  <si>
    <t xml:space="preserve">   53000 Contractor Costs</t>
  </si>
  <si>
    <t xml:space="preserve">      53200 Contractor Costs</t>
  </si>
  <si>
    <t xml:space="preserve">   Total 53000 Contractor Costs</t>
  </si>
  <si>
    <t xml:space="preserve">   55000 Workforce Development Training Costs</t>
  </si>
  <si>
    <t xml:space="preserve">      55100 Training Personnel</t>
  </si>
  <si>
    <t xml:space="preserve">      55120 Training Personnel Taxes</t>
  </si>
  <si>
    <t xml:space="preserve">      55130 Training Personnel Benefits</t>
  </si>
  <si>
    <t xml:space="preserve">      55200 Other Training Costs</t>
  </si>
  <si>
    <t xml:space="preserve">   Total 55000 Workforce Development Training Costs</t>
  </si>
  <si>
    <t xml:space="preserve">   Inventory Shrinkage</t>
  </si>
  <si>
    <t>Total Cost of Goods Sold</t>
  </si>
  <si>
    <t>Expenses</t>
  </si>
  <si>
    <t xml:space="preserve">   60100 Personnel Costs</t>
  </si>
  <si>
    <t xml:space="preserve">      60110 Salaries &amp; Wages</t>
  </si>
  <si>
    <t xml:space="preserve">      60120 Payroll Taxes</t>
  </si>
  <si>
    <t xml:space="preserve">      60140 Employee Benefits</t>
  </si>
  <si>
    <t xml:space="preserve">   Total 60100 Personnel Costs</t>
  </si>
  <si>
    <t xml:space="preserve">   61000 Professional Fees</t>
  </si>
  <si>
    <t xml:space="preserve">      61010 Finance and Accounting Fees</t>
  </si>
  <si>
    <t xml:space="preserve">      61020 Legal Fees</t>
  </si>
  <si>
    <t xml:space="preserve">      61030 Consulting Fees - Grant Writing</t>
  </si>
  <si>
    <t xml:space="preserve">      61050 Consulting Fees - Technology</t>
  </si>
  <si>
    <t xml:space="preserve">      61055 Consulting Fees - Gov't Relations</t>
  </si>
  <si>
    <t xml:space="preserve">      61060 Professional Fees - Recruitment</t>
  </si>
  <si>
    <t xml:space="preserve">      61080 Other Consulting Fees</t>
  </si>
  <si>
    <t xml:space="preserve">   Total 61000 Professional Fees</t>
  </si>
  <si>
    <t xml:space="preserve">   62000 Marketing &amp; Advertising</t>
  </si>
  <si>
    <t xml:space="preserve">      62010 Advertising/Promotional</t>
  </si>
  <si>
    <t xml:space="preserve">      62020 Events/Sponsorship</t>
  </si>
  <si>
    <t xml:space="preserve">   Total 62000 Marketing &amp; Advertising</t>
  </si>
  <si>
    <t xml:space="preserve">   63000 General Office Expenses</t>
  </si>
  <si>
    <t xml:space="preserve">      63001 Donations</t>
  </si>
  <si>
    <t xml:space="preserve">      63010 Office Supplies</t>
  </si>
  <si>
    <t xml:space="preserve">      63011 Other Office Expenses</t>
  </si>
  <si>
    <t xml:space="preserve">      63015 Education &amp; Training</t>
  </si>
  <si>
    <t xml:space="preserve">      63020 Bank Charges &amp; Fees</t>
  </si>
  <si>
    <t xml:space="preserve">      63040 Other Business Expenses</t>
  </si>
  <si>
    <t xml:space="preserve">      63050 Dues and Subscriptions</t>
  </si>
  <si>
    <t xml:space="preserve">      63060 Freight, Postage and Delivery</t>
  </si>
  <si>
    <t xml:space="preserve">      63065 Software License Expense</t>
  </si>
  <si>
    <t xml:space="preserve">      63070 Processing &amp; Service Fees</t>
  </si>
  <si>
    <t xml:space="preserve">         63071 Payroll Processing Cost</t>
  </si>
  <si>
    <t xml:space="preserve">      Total 63070 Processing &amp; Service Fees</t>
  </si>
  <si>
    <t xml:space="preserve">      63080 Groceries</t>
  </si>
  <si>
    <t xml:space="preserve">      63085 Meals</t>
  </si>
  <si>
    <t xml:space="preserve">      63090 Software, Data &amp; Web Hosting Services</t>
  </si>
  <si>
    <t xml:space="preserve">   Total 63000 General Office Expenses</t>
  </si>
  <si>
    <t xml:space="preserve">   65000 Travel &amp; Transportation</t>
  </si>
  <si>
    <t xml:space="preserve">      65001 Travel Expense</t>
  </si>
  <si>
    <t xml:space="preserve">      65002 Airfare</t>
  </si>
  <si>
    <t xml:space="preserve">      65010 Gas/Fuel</t>
  </si>
  <si>
    <t xml:space="preserve">      65020 Accommodation</t>
  </si>
  <si>
    <t xml:space="preserve">      65050 Parking</t>
  </si>
  <si>
    <t xml:space="preserve">   Total 65000 Travel &amp; Transportation</t>
  </si>
  <si>
    <t xml:space="preserve">   66000 Facilities</t>
  </si>
  <si>
    <t xml:space="preserve">      66001 Rent Expense</t>
  </si>
  <si>
    <t xml:space="preserve">      66030 Telephone Expense</t>
  </si>
  <si>
    <t xml:space="preserve">      66060 Expensed Equipment</t>
  </si>
  <si>
    <t xml:space="preserve">      66070 Cable &amp; Radio Expenses</t>
  </si>
  <si>
    <t xml:space="preserve">   Total 66000 Facilities</t>
  </si>
  <si>
    <t xml:space="preserve">   69000 Insurance Expense</t>
  </si>
  <si>
    <t xml:space="preserve">   90000 Taxes &amp; Licenses</t>
  </si>
  <si>
    <t xml:space="preserve">      90010 State &amp; Local Taxes</t>
  </si>
  <si>
    <t xml:space="preserve">   Total 90000 Taxes &amp; Licenses</t>
  </si>
  <si>
    <t xml:space="preserve">   90020 Local Taxes</t>
  </si>
  <si>
    <t xml:space="preserve">   QuickBooks Payments Fees</t>
  </si>
  <si>
    <t>Total Expenses</t>
  </si>
  <si>
    <t>Net Operating Income</t>
  </si>
  <si>
    <t>Other Income</t>
  </si>
  <si>
    <t xml:space="preserve">   70000 Other Income</t>
  </si>
  <si>
    <t xml:space="preserve">   70020 Interest Income</t>
  </si>
  <si>
    <t>Total Other Income</t>
  </si>
  <si>
    <t>Net Other Income</t>
  </si>
  <si>
    <t>Net Income</t>
  </si>
  <si>
    <t>Tuesday, Jul 18, 2023 08:52:15 AM GMT-7 - Accrual Basis</t>
  </si>
  <si>
    <t>Salaries</t>
  </si>
  <si>
    <t>Revenue Generated</t>
  </si>
  <si>
    <t>User Retention</t>
  </si>
  <si>
    <t>Every X Years</t>
  </si>
  <si>
    <t>Avg All in Compensation</t>
  </si>
  <si>
    <t>Max Per Year/Head Count</t>
  </si>
  <si>
    <t>VC</t>
  </si>
  <si>
    <t>Starting Year</t>
  </si>
  <si>
    <t>Adoption Rate %</t>
  </si>
  <si>
    <t>Subscription Conversion %</t>
  </si>
  <si>
    <t>Batteries degarde 1.8% per yer</t>
  </si>
  <si>
    <t>Assume Price / customer</t>
  </si>
  <si>
    <t>Labor</t>
  </si>
  <si>
    <t>Rate</t>
  </si>
  <si>
    <t>Total Pay</t>
  </si>
  <si>
    <t>Rent</t>
  </si>
  <si>
    <t>Electric</t>
  </si>
  <si>
    <t>Phone</t>
  </si>
  <si>
    <t>Internet</t>
  </si>
  <si>
    <t>Water</t>
  </si>
  <si>
    <t>Insurance</t>
  </si>
  <si>
    <t>Accounting/Legal</t>
  </si>
  <si>
    <t>Other</t>
  </si>
  <si>
    <t>Days in Month</t>
  </si>
  <si>
    <t>12 Month P&amp;L Statement - 12 month Cash Budget</t>
  </si>
  <si>
    <t>Revenues</t>
  </si>
  <si>
    <t>Advertising</t>
  </si>
  <si>
    <t>A</t>
  </si>
  <si>
    <t>P</t>
  </si>
  <si>
    <t xml:space="preserve">   Salary</t>
  </si>
  <si>
    <t xml:space="preserve">   Labor</t>
  </si>
  <si>
    <t xml:space="preserve">   Fixed Costs</t>
  </si>
  <si>
    <t>Production Cost</t>
  </si>
  <si>
    <t>Common Size</t>
  </si>
  <si>
    <t>Ref Growth Forecast</t>
  </si>
  <si>
    <t>Ref Headcount Forecast</t>
  </si>
  <si>
    <t xml:space="preserve">   Production Cost</t>
  </si>
  <si>
    <t>COGS</t>
  </si>
  <si>
    <t>Taxes</t>
  </si>
  <si>
    <t>Tool Cost</t>
  </si>
  <si>
    <t>Parking Charges</t>
  </si>
  <si>
    <t>Toll fees</t>
  </si>
  <si>
    <t>Travel Expenses</t>
  </si>
  <si>
    <t>Daily Labor Costs</t>
  </si>
  <si>
    <t>Fixed Monthly Information</t>
  </si>
  <si>
    <t>Revenue Growth</t>
  </si>
  <si>
    <t>Qty</t>
  </si>
  <si>
    <t>Battery Replacement</t>
  </si>
  <si>
    <t xml:space="preserve">Recycling </t>
  </si>
  <si>
    <t>Meals</t>
  </si>
  <si>
    <t>BYD Company</t>
  </si>
  <si>
    <t>Nu Ride</t>
  </si>
  <si>
    <t>Carbon Revolution</t>
  </si>
  <si>
    <t>TVS Motor Company</t>
  </si>
  <si>
    <t>Chijet Motor Company</t>
  </si>
  <si>
    <t>Volkswagen Group</t>
  </si>
  <si>
    <t>Cenntro</t>
  </si>
  <si>
    <t>Mullen Automotive</t>
  </si>
  <si>
    <t>Nikola</t>
  </si>
  <si>
    <t>Gogoro</t>
  </si>
  <si>
    <t>BOM: 532343</t>
  </si>
  <si>
    <t>NAS: CJET</t>
  </si>
  <si>
    <t>ETR: VOW3</t>
  </si>
  <si>
    <t>NAS: CENN</t>
  </si>
  <si>
    <t>Total Revenue</t>
  </si>
  <si>
    <t>NAS: MULN</t>
  </si>
  <si>
    <t>SHE: 002594</t>
  </si>
  <si>
    <t>PINX: NRDE</t>
  </si>
  <si>
    <t>NAS: CREV</t>
  </si>
  <si>
    <t>PINX: NKLAQ</t>
  </si>
  <si>
    <t>NAS: GGR</t>
  </si>
  <si>
    <t>Share Price</t>
  </si>
  <si>
    <t>Shares Outstanding</t>
  </si>
  <si>
    <t>Equity Value</t>
  </si>
  <si>
    <t>FQ</t>
  </si>
  <si>
    <t>Net Debt</t>
  </si>
  <si>
    <t>Enterprise Value</t>
  </si>
  <si>
    <t>EV/Revenue</t>
  </si>
  <si>
    <t>EV/EBITDA</t>
  </si>
  <si>
    <t>P/E</t>
  </si>
  <si>
    <t>Items</t>
  </si>
  <si>
    <t xml:space="preserve"> </t>
  </si>
  <si>
    <t>Adoption %</t>
  </si>
  <si>
    <t>Sunrun Inc.</t>
  </si>
  <si>
    <t>Tesla, Inc.</t>
  </si>
  <si>
    <t>Samsara Inc.</t>
  </si>
  <si>
    <t>ChargePoint Holdings, Inc.</t>
  </si>
  <si>
    <t>ServiceTitan, Inc.</t>
  </si>
  <si>
    <t>Nextracker Inc.</t>
  </si>
  <si>
    <t>Karooooo Ltd.</t>
  </si>
  <si>
    <t>Siemens Aktiengesellschaft</t>
  </si>
  <si>
    <t>Penetration %</t>
  </si>
  <si>
    <t>Potential Customers thru Ads</t>
  </si>
  <si>
    <t>H4sIAAAAAAAEAO2YC3RT9R3Hc+kzoeALkW1qr2KBag1N0gftivSRtNSW9JG2gF3XJumFht4m9SZhbTluqMA2cThQ5mBwcMoUJlNU5HGkOHFjOhRxPjZ22EDEeTjOzfmAHTjW/f6X/P73l5jk3KP1nB0POafJ/58mn9/r+/v9741BMBgMn8GDvbJH1hh4amr0hbw9lYFAr9gy2C8FxXqfR3Erg3lim6QEfQH/TGu+tdBsM+eb8/PEqrAcCivSTL8UDiluOU9sDHtkn7dOGmwJ9Er+mf6wLKcxvotjO1VsZwRrdkmKzy37htweWapye3ukz79zQ0ugv15aLMnqzu7zhsAN+G4qcDMiXmVWBfr63YqkZM52B3tcviFpHDjR5pbDUqPbpwQNKYaUzDWCazAYkvrMVQFZllRM0Fwj+cGgF18dt4bBeGgQeV2W9vbIt1whxedfmCf2Bb0BRfZ5tJQUsGzoyYenuNhd6C0sspTYCqT8GSUdHZm/HpPEKRpDl/Ur9SSv/cuUKKY0YG60ZdTR0d7BBMrUZEyBJ/ZnZBpIZav/x9qypspgHqpOs7+ULReqrbPaqedgNF1Il950sdZI6ZUG0xazlAipdaPoMGOnp7MnV48khSzGDFinsafRtPL1GOcPf30U2w3nrs/7FY7yMhzl89nCyOpvxGnJ/pey+UIy9UzK0zApL6Tqi0zJmlFyVp2QY+FJdFa4SsWqZkebUwqJdskTqm7KL55uKZrOnG112bPGwafmOga8kmz3u821/pC0UHGzcmlxWcwWfUEtsFoLpZKiwpIZhcVSt0fKGg/wiuqA0ucOBb/EFfvHIKjRSg3r74llqvxu6u3srHR7e0F01T5J7r6yzC4FvYqvn4Uf+88rys7HEfv+GCH1skiEZpV6fsMiZ1UwXgRPprQPIIJ4H2OjJUMtfmenIXN85DJS+Dd8nHVR+qWwm+qa7SgV8yFpJQUtgZBbFpvh7sMPiOhSCu/DN1iqMtMtO+e9tO/Q5ZUm4Z+wZ8bTGPY9xE5k0misdc4rFZ119RVNjsraFntFLO9UhGecxGIQ3o2gVA//gahvMRTxMD7qJHcte+nCg+PPvllhEt6mrp1AXjbsLI6W5lKxrWGuDc7JvoBfdPXAYRkUG8KhYMjt72a5jzFwnBuA72+a9tYwGDhGDfwdDUyG3dW8LeK7exQjz1Ej/yuN/AiCpjFPKxvmlIqFNqutwMY6rNbvDfRJ4jQnqy5IUOrOjWX/mXv6t+vSM852rgFP36SevoEG8rQGdjidCRpYeI1G3rXzIx/w/kR5ryIvH3bZKq+mpjkR7hWK6xHffRJwhyjuZcQVwC4/IqJmu0Nn+Acp32D4qOg5k/BHyn8R+TNgNz0qfB34P3B838Ci3JflVsAfoPjfI56d6Dkqfk5rvTNpYz0f5XP2iWbIyX4KfQ6h5dxnBtXp87Mc/5179uceWXkn+LyP4ocRb+c+V93saEnq8zMo4WpVwnuohHcjrxZ216EikuJ20hSUl7WtghQ8TX3cgcw5bGSR2ZIU+yR62aB6uZ16+TgSm2F3TbTQ4in3N1FV2jE8BGncRl18FIFtsLsKw44/AbZGwdaH5kO8WyjsEYTdwtoAYbrn1a8of/Xe9U8AfzPlP4T878LORsaMbhO/pCY+fKduL5h4gJrYhCY8bNDwmZsovxs5b0btofktj82C42UD5f0CeQtgZ6aDRkcTrItK+P2vdkP1fk7p9yN9EZu75MTRaWAtN/DgnnG71+w9DOm4jxq4Fw34mQF+QujO92rUcr+q5XuollchOwi7ydrxJgeCktgI18Sf64y7ubuH903M3VDTXm4SVlJ370Lk91gTa+2RhPkjzrSpjzOzTMIPKXMFMpfA7tqYHMfTxDJO3HisY9d9L2btNwl3UuIdSPwBSyoZCzqrthSTerua1O/TpN6G7GXaQQljMZGvSxC1QkUNUtQAon7MBnhUK+hwcjHPwo5nL37B1/o2SCtMsxBC/E/4xQc7H+KPHoV2QteSw+w4uJXS+pG2mh0HpEpJSu/n0J5VN25f/9NqkFMfhcoIXcugpFBJoIs49NjxsfduveMJ0JOPQnsQuo5B6RBLDF3AoT8Tt+dIR8rBU4lCuxG6kU1G6qneTvWgEjapSuiiSuhE+oPa5UdEVDqU0IHkzSq5nZJvQfIjsJuiNWzSA3Je1Fg0qNS5NBttSH2UZYOKQW82WoiJD6ZmD3wM6nVRE81o4nGmXt4c8dXbyGn2laa1r0xOg1OigdKcSHuKj1nWC7rdrY/KyNJ/PQ/6qKMGbkYDu9gQ4ydzYsXN5sRPT4ePb7jkDZBxDSVWI/EZTRORW2odmrCjJobV6lVSTVQg+bfsqok0SFJRzOIOV+e0TgrPew0qdhN1eCZif8eOGy3HiXPwbY6cMOvA0aeX7YUclFJkCSJf0E5HuCzXXbbiqKl2MHAb+FxEDRSigZdgZyXnmV4LtihhLH/KDxas1IIFLRzWbgEhhPg6nk5pSx/6sAmmsJnSbkTa6zzHakIS5/gGjhw8NcWSue0k5Ph6isxF5F80JLsCSYycypG7r17+XtPuy6AZplBkDiKParcO4GVSeU2OSuTW+eWQyGsp9BqEHmcdFnOoxzt6s7EFTqgtcBVtgSsR9g6DxdxPx4N9k7v3+sCeNcs7ToJ736DuTULiKXZdQIjxKz2R8w7U7fpk3ZYtwLuc8iYg731296cpMz7u0qjsDQxZQTiXUNzFiPsPKwkfp0lLMp5DpXMPB64YscJUHUehWQj9RKszSCcp1IRVOaNWJZNWJQN5Z/m1Fd7RxqtJGg36gZXbFkMOU6l/Kcgb0aQNx2oSaQscOfutoQmP1aSDtA0U+dlIBDlG4BOJIfXOi09HIuGnCiz8cyMk/LPIzhD4qAB2/Ir/F0FGFXSagNLYz3/Z8X5eNatvOhQloET9CJjBfpC9HkQMLxedX+Zoy2pt2aAt+7Xl7dpyhbbcpC03a8thbXlCW57RliwxkaWRL8f+D6dCpn6pIQ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</si>
</sst>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6" formatCode="&quot;$&quot;#,##0_);[Red]\(&quot;$&quot;#,##0\)"/>
    <numFmt numFmtId="44" formatCode="_(&quot;$&quot;* #,##0.00_);_(&quot;$&quot;* \(#,##0.00\);_(&quot;$&quot;* &quot;-&quot;??_);_(@_)"/>
    <numFmt numFmtId="164" formatCode="0.0%_);\(0.0%\);@_)"/>
    <numFmt numFmtId="165" formatCode="0\A;[Red]0\A"/>
    <numFmt numFmtId="166" formatCode="0\P_);\(0\P\)"/>
    <numFmt numFmtId="167" formatCode="m/d/yy;@"/>
    <numFmt numFmtId="168" formatCode="_(#,##0_)_%;\(#,##0\)_%;_(&quot;–&quot;_)_%;_(@_)_%"/>
    <numFmt numFmtId="169" formatCode="0.0%"/>
    <numFmt numFmtId="170" formatCode="#,##0\ &quot;EVs&quot;"/>
    <numFmt numFmtId="171" formatCode="0\P;[Red]0\P"/>
    <numFmt numFmtId="172" formatCode="&quot;$&quot;#,##0"/>
    <numFmt numFmtId="173" formatCode="&quot;$&quot;#,##0.00"/>
    <numFmt numFmtId="174" formatCode="#,##0\ &quot;EVs&quot;;[Red]\(#,##0\ &quot;EVs&quot;\)"/>
    <numFmt numFmtId="175" formatCode="0_ ;[Red]\-0\ "/>
    <numFmt numFmtId="176" formatCode="_-* #,##0.00_-;\-* #,##0.00_-;_-* &quot;-&quot;??_-;_-@_-"/>
    <numFmt numFmtId="177" formatCode="_-* #,##0_-;\-* #,##0_-;_-* &quot;-&quot;??_-;_-@_-"/>
    <numFmt numFmtId="178" formatCode="_-&quot;$&quot;* #,##0_-;\-&quot;$&quot;* #,##0_-;_-&quot;$&quot;* &quot;-&quot;??_-;_-@_-"/>
    <numFmt numFmtId="179" formatCode="#,##0.00\ _€"/>
    <numFmt numFmtId="180" formatCode="&quot;$&quot;* #,##0.00\ _€"/>
    <numFmt numFmtId="181" formatCode="&quot;$&quot;#,##0;[Red]&quot;$&quot;#,##0"/>
    <numFmt numFmtId="182" formatCode="&quot;$&quot;#,##0.00;[Red]&quot;$&quot;#,##0.00"/>
    <numFmt numFmtId="183" formatCode="0.00\x;[Red]\(0.00\x\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i/>
      <sz val="11"/>
      <color rgb="FF0000FF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3366FF"/>
      <name val="Arial"/>
      <family val="2"/>
    </font>
    <font>
      <u/>
      <sz val="10"/>
      <name val="Arial"/>
      <family val="2"/>
    </font>
    <font>
      <i/>
      <sz val="11"/>
      <color rgb="FF0070C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rgb="FFD9EAD3"/>
      </patternFill>
    </fill>
    <fill>
      <patternFill patternType="solid">
        <fgColor rgb="FFD9EAD3"/>
        <bgColor rgb="FFD9EAD3"/>
      </patternFill>
    </fill>
    <fill>
      <patternFill patternType="solid">
        <fgColor theme="4" tint="0.3999450666829432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  <xf numFmtId="0" fontId="20" fillId="0" borderId="0"/>
    <xf numFmtId="176" fontId="20" fillId="0" borderId="0" applyFont="0" applyFill="0" applyBorder="0" applyAlignment="0" applyProtection="0"/>
  </cellStyleXfs>
  <cellXfs count="113">
    <xf numFmtId="0" fontId="0" fillId="0" borderId="0" xfId="0"/>
    <xf numFmtId="0" fontId="4" fillId="0" borderId="0" xfId="2" applyFont="1" applyAlignment="1">
      <alignment horizontal="left" wrapText="1"/>
    </xf>
    <xf numFmtId="0" fontId="5" fillId="0" borderId="0" xfId="0" applyFont="1"/>
    <xf numFmtId="0" fontId="0" fillId="0" borderId="0" xfId="0" applyAlignment="1">
      <alignment horizontal="left" indent="1"/>
    </xf>
    <xf numFmtId="164" fontId="6" fillId="0" borderId="0" xfId="0" applyNumberFormat="1" applyFont="1"/>
    <xf numFmtId="164" fontId="7" fillId="0" borderId="0" xfId="0" applyNumberFormat="1" applyFont="1"/>
    <xf numFmtId="0" fontId="2" fillId="0" borderId="3" xfId="0" applyFont="1" applyBorder="1"/>
    <xf numFmtId="0" fontId="8" fillId="0" borderId="3" xfId="0" applyFont="1" applyBorder="1"/>
    <xf numFmtId="0" fontId="0" fillId="0" borderId="3" xfId="0" applyBorder="1"/>
    <xf numFmtId="165" fontId="9" fillId="0" borderId="0" xfId="0" applyNumberFormat="1" applyFont="1"/>
    <xf numFmtId="0" fontId="10" fillId="0" borderId="0" xfId="0" applyFont="1"/>
    <xf numFmtId="167" fontId="11" fillId="0" borderId="0" xfId="0" applyNumberFormat="1" applyFont="1"/>
    <xf numFmtId="0" fontId="6" fillId="0" borderId="0" xfId="0" applyFont="1"/>
    <xf numFmtId="37" fontId="7" fillId="0" borderId="0" xfId="0" applyNumberFormat="1" applyFont="1"/>
    <xf numFmtId="6" fontId="0" fillId="0" borderId="0" xfId="0" applyNumberFormat="1"/>
    <xf numFmtId="3" fontId="0" fillId="0" borderId="0" xfId="0" applyNumberFormat="1"/>
    <xf numFmtId="37" fontId="6" fillId="0" borderId="0" xfId="0" applyNumberFormat="1" applyFont="1"/>
    <xf numFmtId="0" fontId="2" fillId="0" borderId="0" xfId="0" applyFont="1"/>
    <xf numFmtId="0" fontId="0" fillId="0" borderId="0" xfId="0" applyAlignment="1">
      <alignment horizontal="left" indent="2"/>
    </xf>
    <xf numFmtId="164" fontId="0" fillId="0" borderId="0" xfId="0" applyNumberFormat="1"/>
    <xf numFmtId="0" fontId="2" fillId="0" borderId="4" xfId="0" applyFont="1" applyBorder="1"/>
    <xf numFmtId="0" fontId="0" fillId="0" borderId="4" xfId="0" applyBorder="1"/>
    <xf numFmtId="14" fontId="11" fillId="0" borderId="0" xfId="0" applyNumberFormat="1" applyFont="1" applyAlignment="1">
      <alignment horizontal="left"/>
    </xf>
    <xf numFmtId="0" fontId="0" fillId="0" borderId="5" xfId="0" applyBorder="1"/>
    <xf numFmtId="0" fontId="7" fillId="0" borderId="0" xfId="0" applyFont="1" applyAlignment="1">
      <alignment horizontal="center"/>
    </xf>
    <xf numFmtId="168" fontId="7" fillId="2" borderId="6" xfId="0" applyNumberFormat="1" applyFont="1" applyFill="1" applyBorder="1" applyAlignment="1">
      <alignment horizontal="center"/>
    </xf>
    <xf numFmtId="14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65" fontId="2" fillId="0" borderId="0" xfId="0" applyNumberFormat="1" applyFont="1"/>
    <xf numFmtId="166" fontId="2" fillId="0" borderId="0" xfId="0" applyNumberFormat="1" applyFont="1"/>
    <xf numFmtId="0" fontId="10" fillId="0" borderId="3" xfId="0" applyFont="1" applyBorder="1"/>
    <xf numFmtId="167" fontId="10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167" fontId="13" fillId="0" borderId="0" xfId="0" applyNumberFormat="1" applyFont="1"/>
    <xf numFmtId="167" fontId="10" fillId="0" borderId="0" xfId="0" applyNumberFormat="1" applyFont="1"/>
    <xf numFmtId="9" fontId="10" fillId="0" borderId="0" xfId="0" applyNumberFormat="1" applyFont="1"/>
    <xf numFmtId="169" fontId="10" fillId="0" borderId="0" xfId="0" applyNumberFormat="1" applyFont="1"/>
    <xf numFmtId="37" fontId="9" fillId="0" borderId="0" xfId="0" applyNumberFormat="1" applyFont="1"/>
    <xf numFmtId="0" fontId="0" fillId="0" borderId="0" xfId="0" quotePrefix="1"/>
    <xf numFmtId="37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4" fontId="0" fillId="0" borderId="0" xfId="0" applyNumberFormat="1"/>
    <xf numFmtId="171" fontId="9" fillId="0" borderId="0" xfId="0" applyNumberFormat="1" applyFont="1"/>
    <xf numFmtId="9" fontId="0" fillId="0" borderId="0" xfId="0" applyNumberFormat="1"/>
    <xf numFmtId="10" fontId="0" fillId="0" borderId="0" xfId="0" applyNumberFormat="1"/>
    <xf numFmtId="170" fontId="14" fillId="0" borderId="0" xfId="0" applyNumberFormat="1" applyFont="1"/>
    <xf numFmtId="0" fontId="0" fillId="3" borderId="0" xfId="0" applyFill="1"/>
    <xf numFmtId="10" fontId="0" fillId="3" borderId="0" xfId="0" applyNumberFormat="1" applyFill="1"/>
    <xf numFmtId="173" fontId="0" fillId="3" borderId="0" xfId="0" applyNumberFormat="1" applyFill="1"/>
    <xf numFmtId="172" fontId="14" fillId="0" borderId="0" xfId="0" applyNumberFormat="1" applyFont="1"/>
    <xf numFmtId="9" fontId="0" fillId="3" borderId="0" xfId="0" applyNumberFormat="1" applyFill="1"/>
    <xf numFmtId="172" fontId="15" fillId="0" borderId="0" xfId="0" applyNumberFormat="1" applyFont="1"/>
    <xf numFmtId="170" fontId="14" fillId="0" borderId="2" xfId="0" applyNumberFormat="1" applyFont="1" applyBorder="1"/>
    <xf numFmtId="174" fontId="14" fillId="0" borderId="0" xfId="0" applyNumberFormat="1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17" fillId="3" borderId="0" xfId="1" applyFont="1" applyFill="1"/>
    <xf numFmtId="175" fontId="0" fillId="4" borderId="0" xfId="0" applyNumberFormat="1" applyFill="1"/>
    <xf numFmtId="0" fontId="16" fillId="0" borderId="0" xfId="0" applyFont="1"/>
    <xf numFmtId="9" fontId="0" fillId="0" borderId="0" xfId="1" applyFont="1"/>
    <xf numFmtId="1" fontId="0" fillId="0" borderId="0" xfId="0" applyNumberFormat="1"/>
    <xf numFmtId="175" fontId="0" fillId="0" borderId="0" xfId="0" applyNumberFormat="1"/>
    <xf numFmtId="9" fontId="18" fillId="0" borderId="0" xfId="0" applyNumberFormat="1" applyFont="1"/>
    <xf numFmtId="170" fontId="0" fillId="3" borderId="2" xfId="0" applyNumberFormat="1" applyFill="1" applyBorder="1"/>
    <xf numFmtId="0" fontId="4" fillId="0" borderId="0" xfId="2" quotePrefix="1" applyFont="1" applyAlignment="1">
      <alignment horizontal="left" wrapText="1"/>
    </xf>
    <xf numFmtId="166" fontId="2" fillId="0" borderId="2" xfId="0" applyNumberFormat="1" applyFont="1" applyBorder="1"/>
    <xf numFmtId="177" fontId="21" fillId="5" borderId="0" xfId="5" applyNumberFormat="1" applyFont="1" applyFill="1" applyAlignment="1"/>
    <xf numFmtId="0" fontId="21" fillId="5" borderId="0" xfId="0" applyFont="1" applyFill="1"/>
    <xf numFmtId="0" fontId="22" fillId="5" borderId="0" xfId="0" applyFont="1" applyFill="1"/>
    <xf numFmtId="0" fontId="23" fillId="0" borderId="0" xfId="0" applyFont="1"/>
    <xf numFmtId="0" fontId="22" fillId="6" borderId="0" xfId="0" applyFont="1" applyFill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6" borderId="0" xfId="0" applyFont="1" applyFill="1"/>
    <xf numFmtId="0" fontId="24" fillId="3" borderId="7" xfId="0" applyFont="1" applyFill="1" applyBorder="1" applyAlignment="1">
      <alignment horizontal="center"/>
    </xf>
    <xf numFmtId="0" fontId="21" fillId="7" borderId="0" xfId="0" applyFont="1" applyFill="1"/>
    <xf numFmtId="0" fontId="21" fillId="8" borderId="0" xfId="0" applyFont="1" applyFill="1"/>
    <xf numFmtId="0" fontId="25" fillId="0" borderId="0" xfId="0" applyFont="1"/>
    <xf numFmtId="178" fontId="24" fillId="3" borderId="7" xfId="3" applyNumberFormat="1" applyFont="1" applyFill="1" applyBorder="1" applyAlignment="1">
      <alignment horizontal="center"/>
    </xf>
    <xf numFmtId="172" fontId="21" fillId="0" borderId="0" xfId="0" applyNumberFormat="1" applyFont="1"/>
    <xf numFmtId="178" fontId="21" fillId="8" borderId="0" xfId="3" applyNumberFormat="1" applyFont="1" applyFill="1" applyAlignment="1"/>
    <xf numFmtId="178" fontId="0" fillId="6" borderId="0" xfId="0" applyNumberFormat="1" applyFill="1"/>
    <xf numFmtId="10" fontId="26" fillId="0" borderId="0" xfId="0" applyNumberFormat="1" applyFont="1"/>
    <xf numFmtId="0" fontId="19" fillId="0" borderId="0" xfId="0" applyFont="1"/>
    <xf numFmtId="0" fontId="0" fillId="0" borderId="2" xfId="0" applyBorder="1"/>
    <xf numFmtId="0" fontId="27" fillId="0" borderId="0" xfId="0" applyFont="1"/>
    <xf numFmtId="0" fontId="0" fillId="0" borderId="0" xfId="0" applyAlignment="1">
      <alignment wrapText="1"/>
    </xf>
    <xf numFmtId="0" fontId="30" fillId="0" borderId="1" xfId="0" applyFont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179" fontId="31" fillId="0" borderId="0" xfId="0" applyNumberFormat="1" applyFont="1" applyAlignment="1">
      <alignment wrapText="1"/>
    </xf>
    <xf numFmtId="179" fontId="31" fillId="0" borderId="0" xfId="0" applyNumberFormat="1" applyFont="1" applyAlignment="1">
      <alignment horizontal="right" wrapText="1"/>
    </xf>
    <xf numFmtId="180" fontId="4" fillId="0" borderId="2" xfId="0" applyNumberFormat="1" applyFont="1" applyBorder="1" applyAlignment="1">
      <alignment horizontal="right" wrapText="1"/>
    </xf>
    <xf numFmtId="0" fontId="27" fillId="0" borderId="1" xfId="0" applyFont="1" applyBorder="1"/>
    <xf numFmtId="167" fontId="11" fillId="0" borderId="1" xfId="0" applyNumberFormat="1" applyFont="1" applyBorder="1"/>
    <xf numFmtId="0" fontId="0" fillId="3" borderId="0" xfId="0" applyFill="1" applyAlignment="1">
      <alignment horizontal="centerContinuous"/>
    </xf>
    <xf numFmtId="0" fontId="0" fillId="9" borderId="0" xfId="0" applyFill="1"/>
    <xf numFmtId="0" fontId="2" fillId="3" borderId="0" xfId="0" applyFont="1" applyFill="1" applyAlignment="1">
      <alignment horizontal="centerContinuous"/>
    </xf>
    <xf numFmtId="173" fontId="0" fillId="0" borderId="0" xfId="0" applyNumberFormat="1"/>
    <xf numFmtId="181" fontId="0" fillId="9" borderId="0" xfId="0" applyNumberFormat="1" applyFill="1"/>
    <xf numFmtId="182" fontId="0" fillId="0" borderId="0" xfId="0" applyNumberFormat="1"/>
    <xf numFmtId="181" fontId="0" fillId="0" borderId="0" xfId="0" applyNumberFormat="1"/>
    <xf numFmtId="2" fontId="0" fillId="0" borderId="0" xfId="0" applyNumberFormat="1"/>
    <xf numFmtId="14" fontId="0" fillId="0" borderId="0" xfId="0" applyNumberFormat="1"/>
    <xf numFmtId="183" fontId="0" fillId="0" borderId="0" xfId="0" applyNumberFormat="1"/>
    <xf numFmtId="0" fontId="11" fillId="0" borderId="0" xfId="0" applyFont="1"/>
    <xf numFmtId="174" fontId="0" fillId="0" borderId="0" xfId="0" applyNumberFormat="1"/>
    <xf numFmtId="174" fontId="0" fillId="4" borderId="0" xfId="0" applyNumberFormat="1" applyFill="1"/>
    <xf numFmtId="0" fontId="28" fillId="0" borderId="0" xfId="0" applyFont="1" applyAlignment="1">
      <alignment horizontal="center"/>
    </xf>
    <xf numFmtId="0" fontId="0" fillId="0" borderId="0" xfId="0"/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</cellXfs>
  <cellStyles count="6">
    <cellStyle name="Comma 2" xfId="5" xr:uid="{A2902805-70CC-4710-B6E0-1B5CEF999729}"/>
    <cellStyle name="Currency" xfId="3" builtinId="4"/>
    <cellStyle name="Normal" xfId="0" builtinId="0"/>
    <cellStyle name="Normal 2" xfId="2" xr:uid="{431D231B-1A0B-4EF8-B5B3-214D4278AF15}"/>
    <cellStyle name="Normal 3" xfId="4" xr:uid="{C77AA9E8-7552-4281-9328-9F7202875D2A}"/>
    <cellStyle name="Percent" xfId="1" builtinId="5"/>
  </cellStyles>
  <dxfs count="2"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</dxfs>
  <tableStyles count="1" defaultTableStyle="TableStyleMedium2" defaultPivotStyle="PivotStyleLight16">
    <tableStyle name="Invisible" pivot="0" table="0" count="0" xr9:uid="{B88C899B-24CF-44C6-98EE-510E959389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ChurnMatrix!$C$100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ChurnMatrix!$D$9:$M$9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ChurnMatrix!$D$100:$M$100</c:f>
              <c:numCache>
                <c:formatCode>0%</c:formatCode>
                <c:ptCount val="10"/>
                <c:pt idx="0">
                  <c:v>0</c:v>
                </c:pt>
                <c:pt idx="1">
                  <c:v>-0.13910942354159478</c:v>
                </c:pt>
                <c:pt idx="2">
                  <c:v>-0.11117088040164963</c:v>
                </c:pt>
                <c:pt idx="3">
                  <c:v>-0.13123983485549859</c:v>
                </c:pt>
                <c:pt idx="4">
                  <c:v>-0.12258833521537289</c:v>
                </c:pt>
                <c:pt idx="5">
                  <c:v>-0.1124823052221217</c:v>
                </c:pt>
                <c:pt idx="6">
                  <c:v>-0.10917649204405161</c:v>
                </c:pt>
                <c:pt idx="7">
                  <c:v>-9.8473752066079265E-2</c:v>
                </c:pt>
                <c:pt idx="8">
                  <c:v>-9.0064981486698462E-2</c:v>
                </c:pt>
                <c:pt idx="9">
                  <c:v>-8.3291334791467567E-2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2-4211-9681-1C1382306E1A}"/>
            </c:ext>
          </c:extLst>
        </c:ser>
        <c:ser>
          <c:idx val="1"/>
          <c:order val="1"/>
          <c:tx>
            <c:strRef>
              <c:f>ChurnMatrix!$C$101</c:f>
              <c:strCache>
                <c:ptCount val="1"/>
                <c:pt idx="0">
                  <c:v>Adoption Rate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ChurnMatrix!$D$9:$M$9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ChurnMatrix!$D$101:$M$101</c:f>
              <c:numCache>
                <c:formatCode>0%</c:formatCode>
                <c:ptCount val="10"/>
                <c:pt idx="0">
                  <c:v>1</c:v>
                </c:pt>
                <c:pt idx="1">
                  <c:v>0.69036934760096647</c:v>
                </c:pt>
                <c:pt idx="2">
                  <c:v>0.59171597633136097</c:v>
                </c:pt>
                <c:pt idx="3">
                  <c:v>0.43350431627674213</c:v>
                </c:pt>
                <c:pt idx="4">
                  <c:v>0.35114514868112456</c:v>
                </c:pt>
                <c:pt idx="5">
                  <c:v>0.29968158225144642</c:v>
                </c:pt>
                <c:pt idx="6">
                  <c:v>0.26548176064501583</c:v>
                </c:pt>
                <c:pt idx="7">
                  <c:v>0.23945617400195507</c:v>
                </c:pt>
                <c:pt idx="8">
                  <c:v>0.21900877569781016</c:v>
                </c:pt>
                <c:pt idx="9">
                  <c:v>0.20253746747963081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E2-4211-9681-1C1382306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968584592"/>
        <c:axId val="1968585552"/>
      </c:barChart>
      <c:catAx>
        <c:axId val="196858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585552"/>
        <c:crosses val="autoZero"/>
        <c:auto val="1"/>
        <c:lblAlgn val="ctr"/>
        <c:lblOffset val="100"/>
        <c:noMultiLvlLbl val="0"/>
      </c:catAx>
      <c:valAx>
        <c:axId val="196858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58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'P&amp;Lv2'!$C$111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'P&amp;Lv2'!$D$111:$O$111</c:f>
              <c:numCache>
                <c:formatCode>0%</c:formatCode>
                <c:ptCount val="12"/>
                <c:pt idx="0">
                  <c:v>0</c:v>
                </c:pt>
                <c:pt idx="1">
                  <c:v>-0.13910942354159478</c:v>
                </c:pt>
                <c:pt idx="2">
                  <c:v>-0.11117088040164963</c:v>
                </c:pt>
                <c:pt idx="3">
                  <c:v>-0.13123983485549859</c:v>
                </c:pt>
                <c:pt idx="4">
                  <c:v>-0.12258833521537289</c:v>
                </c:pt>
                <c:pt idx="5">
                  <c:v>-0.1124823052221217</c:v>
                </c:pt>
                <c:pt idx="6">
                  <c:v>-0.10917649204405161</c:v>
                </c:pt>
                <c:pt idx="7">
                  <c:v>-9.8473752066079265E-2</c:v>
                </c:pt>
                <c:pt idx="8">
                  <c:v>-9.0064981486698462E-2</c:v>
                </c:pt>
                <c:pt idx="9">
                  <c:v>-8.3291334791467567E-2</c:v>
                </c:pt>
                <c:pt idx="10">
                  <c:v>-7.7724178449722209E-2</c:v>
                </c:pt>
                <c:pt idx="11">
                  <c:v>-7.3072615032455698E-2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6-4484-B209-AD28AF6EBBE7}"/>
            </c:ext>
          </c:extLst>
        </c:ser>
        <c:ser>
          <c:idx val="1"/>
          <c:order val="1"/>
          <c:tx>
            <c:strRef>
              <c:f>'P&amp;Lv2'!$C$112</c:f>
              <c:strCache>
                <c:ptCount val="1"/>
                <c:pt idx="0">
                  <c:v>Adoption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'P&amp;Lv2'!$D$112:$O$112</c:f>
              <c:numCache>
                <c:formatCode>0%</c:formatCode>
                <c:ptCount val="12"/>
                <c:pt idx="0">
                  <c:v>1</c:v>
                </c:pt>
                <c:pt idx="1">
                  <c:v>0.69036934760096647</c:v>
                </c:pt>
                <c:pt idx="2">
                  <c:v>0.59171597633136097</c:v>
                </c:pt>
                <c:pt idx="3">
                  <c:v>0.43350431627674213</c:v>
                </c:pt>
                <c:pt idx="4">
                  <c:v>0.35114514868112456</c:v>
                </c:pt>
                <c:pt idx="5">
                  <c:v>0.29968158225144642</c:v>
                </c:pt>
                <c:pt idx="6">
                  <c:v>0.26548176064501583</c:v>
                </c:pt>
                <c:pt idx="7">
                  <c:v>0.23945617400195507</c:v>
                </c:pt>
                <c:pt idx="8">
                  <c:v>0.21900877569781016</c:v>
                </c:pt>
                <c:pt idx="9">
                  <c:v>0.20253746747963081</c:v>
                </c:pt>
                <c:pt idx="10">
                  <c:v>0.18899995185038457</c:v>
                </c:pt>
                <c:pt idx="11">
                  <c:v>0.17768886076614646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56-4484-B209-AD28AF6EB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792079"/>
        <c:axId val="133795439"/>
      </c:barChart>
      <c:catAx>
        <c:axId val="13379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95439"/>
        <c:crosses val="autoZero"/>
        <c:auto val="1"/>
        <c:lblAlgn val="ctr"/>
        <c:lblOffset val="100"/>
        <c:noMultiLvlLbl val="0"/>
      </c:catAx>
      <c:valAx>
        <c:axId val="13379543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9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640862</xdr:colOff>
      <xdr:row>4</xdr:row>
      <xdr:rowOff>58616</xdr:rowOff>
    </xdr:from>
    <xdr:to>
      <xdr:col>15</xdr:col>
      <xdr:colOff>1175635</xdr:colOff>
      <xdr:row>18</xdr:row>
      <xdr:rowOff>32278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156E69-3ADA-2C63-09E6-6DECACE54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5170" y="801078"/>
          <a:ext cx="5575696" cy="25722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665237</xdr:colOff>
      <xdr:row>104</xdr:row>
      <xdr:rowOff>42030</xdr:rowOff>
    </xdr:from>
    <xdr:to>
      <xdr:col>11</xdr:col>
      <xdr:colOff>483808</xdr:colOff>
      <xdr:row>134</xdr:row>
      <xdr:rowOff>45356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07475-A817-1214-98FF-90E47FE90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528909</xdr:colOff>
      <xdr:row>5</xdr:row>
      <xdr:rowOff>116159</xdr:rowOff>
    </xdr:from>
    <xdr:to>
      <xdr:col>23</xdr:col>
      <xdr:colOff>206762</xdr:colOff>
      <xdr:row>120</xdr:row>
      <xdr:rowOff>97728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A081B8-893F-83D9-5E0B-77727461E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folabiIsiaka\Downloads\Headcount-and-Labor-Example+v1.3.xlsx" TargetMode="External"/><Relationship Id="rId1" Type="http://schemas.openxmlformats.org/officeDocument/2006/relationships/externalLinkPath" Target="file:///C:\Users\AfolabiIsiaka\Downloads\Headcount-and-Labor-Example+v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ad Count"/>
      <sheetName val="Salary"/>
      <sheetName val="Example"/>
      <sheetName val="Pricing"/>
      <sheetName val="Projection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8">
          <cell r="D18">
            <v>6.9999999999999999E-4</v>
          </cell>
        </row>
        <row r="19">
          <cell r="D19">
            <v>6.9999999999999999E-4</v>
          </cell>
        </row>
        <row r="20">
          <cell r="D20">
            <v>6.9999999999999999E-4</v>
          </cell>
        </row>
        <row r="25">
          <cell r="D25">
            <v>7</v>
          </cell>
        </row>
        <row r="26">
          <cell r="D26">
            <v>12</v>
          </cell>
        </row>
        <row r="27">
          <cell r="D27">
            <v>25</v>
          </cell>
        </row>
        <row r="53">
          <cell r="D53">
            <v>120</v>
          </cell>
        </row>
        <row r="54">
          <cell r="D54">
            <v>50</v>
          </cell>
        </row>
        <row r="55">
          <cell r="D55">
            <v>0.1</v>
          </cell>
        </row>
        <row r="63">
          <cell r="E63">
            <v>1316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9CC4-3EE0-47DB-92F9-A0BA4988597C}">
  <dimension ref="A1:H104"/>
  <sheetViews>
    <sheetView workbookViewId="0">
      <selection sqref="A1:H3"/>
    </sheetView>
  </sheetViews>
  <sheetFormatPr defaultRowHeight="14.5" x14ac:dyDescent="0.35"/>
  <cols>
    <col min="1" max="1" width="47.26953125" customWidth="1"/>
    <col min="2" max="7" width="12" customWidth="1"/>
    <col min="8" max="8" width="13.7265625" customWidth="1"/>
  </cols>
  <sheetData>
    <row r="1" spans="1:8" ht="18" x14ac:dyDescent="0.4">
      <c r="A1" s="109" t="s">
        <v>110</v>
      </c>
      <c r="B1" s="110"/>
      <c r="C1" s="110"/>
      <c r="D1" s="110"/>
      <c r="E1" s="110"/>
      <c r="F1" s="110"/>
      <c r="G1" s="110"/>
      <c r="H1" s="110"/>
    </row>
    <row r="2" spans="1:8" ht="18" x14ac:dyDescent="0.4">
      <c r="A2" s="109" t="s">
        <v>111</v>
      </c>
      <c r="B2" s="110"/>
      <c r="C2" s="110"/>
      <c r="D2" s="110"/>
      <c r="E2" s="110"/>
      <c r="F2" s="110"/>
      <c r="G2" s="110"/>
      <c r="H2" s="110"/>
    </row>
    <row r="3" spans="1:8" x14ac:dyDescent="0.35">
      <c r="A3" s="111" t="s">
        <v>112</v>
      </c>
      <c r="B3" s="110"/>
      <c r="C3" s="110"/>
      <c r="D3" s="110"/>
      <c r="E3" s="110"/>
      <c r="F3" s="110"/>
      <c r="G3" s="110"/>
      <c r="H3" s="110"/>
    </row>
    <row r="5" spans="1:8" x14ac:dyDescent="0.35">
      <c r="A5" s="88"/>
      <c r="B5" s="89" t="s">
        <v>113</v>
      </c>
      <c r="C5" s="89" t="s">
        <v>114</v>
      </c>
      <c r="D5" s="89" t="s">
        <v>115</v>
      </c>
      <c r="E5" s="89" t="s">
        <v>116</v>
      </c>
      <c r="F5" s="89" t="s">
        <v>117</v>
      </c>
      <c r="G5" s="89" t="s">
        <v>118</v>
      </c>
      <c r="H5" s="89" t="s">
        <v>0</v>
      </c>
    </row>
    <row r="6" spans="1:8" x14ac:dyDescent="0.35">
      <c r="A6" s="90" t="s">
        <v>119</v>
      </c>
      <c r="B6" s="91"/>
      <c r="C6" s="91"/>
      <c r="D6" s="91"/>
      <c r="E6" s="91"/>
      <c r="F6" s="91"/>
      <c r="G6" s="91"/>
      <c r="H6" s="91"/>
    </row>
    <row r="7" spans="1:8" x14ac:dyDescent="0.35">
      <c r="A7" s="90" t="s">
        <v>120</v>
      </c>
      <c r="B7" s="92">
        <f>54256.58</f>
        <v>54256.58</v>
      </c>
      <c r="C7" s="92">
        <f>31504.6</f>
        <v>31504.6</v>
      </c>
      <c r="D7" s="92">
        <f>29168.4</f>
        <v>29168.400000000001</v>
      </c>
      <c r="E7" s="92">
        <f>85981.73</f>
        <v>85981.73</v>
      </c>
      <c r="F7" s="92">
        <f>79117.05</f>
        <v>79117.05</v>
      </c>
      <c r="G7" s="92">
        <f>107813.22</f>
        <v>107813.22</v>
      </c>
      <c r="H7" s="92">
        <f t="shared" ref="H7:H13" si="0">(((((B7)+(C7))+(D7))+(E7))+(F7))+(G7)</f>
        <v>387841.57999999996</v>
      </c>
    </row>
    <row r="8" spans="1:8" x14ac:dyDescent="0.35">
      <c r="A8" s="90" t="s">
        <v>121</v>
      </c>
      <c r="B8" s="92">
        <f>37145</f>
        <v>37145</v>
      </c>
      <c r="C8" s="92">
        <f>16910</f>
        <v>16910</v>
      </c>
      <c r="D8" s="92">
        <f>18905</f>
        <v>18905</v>
      </c>
      <c r="E8" s="92">
        <f>10355</f>
        <v>10355</v>
      </c>
      <c r="F8" s="91"/>
      <c r="G8" s="91"/>
      <c r="H8" s="92">
        <f t="shared" si="0"/>
        <v>83315</v>
      </c>
    </row>
    <row r="9" spans="1:8" x14ac:dyDescent="0.35">
      <c r="A9" s="90" t="s">
        <v>122</v>
      </c>
      <c r="B9" s="93">
        <f t="shared" ref="B9:G9" si="1">(B7)+(B8)</f>
        <v>91401.58</v>
      </c>
      <c r="C9" s="93">
        <f t="shared" si="1"/>
        <v>48414.6</v>
      </c>
      <c r="D9" s="93">
        <f t="shared" si="1"/>
        <v>48073.4</v>
      </c>
      <c r="E9" s="93">
        <f t="shared" si="1"/>
        <v>96336.73</v>
      </c>
      <c r="F9" s="93">
        <f t="shared" si="1"/>
        <v>79117.05</v>
      </c>
      <c r="G9" s="93">
        <f t="shared" si="1"/>
        <v>107813.22</v>
      </c>
      <c r="H9" s="93">
        <f t="shared" si="0"/>
        <v>471156.57999999996</v>
      </c>
    </row>
    <row r="10" spans="1:8" x14ac:dyDescent="0.35">
      <c r="A10" s="90" t="s">
        <v>123</v>
      </c>
      <c r="B10" s="92">
        <f>25000</f>
        <v>25000</v>
      </c>
      <c r="C10" s="92">
        <f>50000</f>
        <v>50000</v>
      </c>
      <c r="D10" s="92">
        <f>75000</f>
        <v>75000</v>
      </c>
      <c r="E10" s="92">
        <f>74000</f>
        <v>74000</v>
      </c>
      <c r="F10" s="92">
        <f>25000</f>
        <v>25000</v>
      </c>
      <c r="G10" s="92">
        <f>100000</f>
        <v>100000</v>
      </c>
      <c r="H10" s="92">
        <f t="shared" si="0"/>
        <v>349000</v>
      </c>
    </row>
    <row r="11" spans="1:8" x14ac:dyDescent="0.35">
      <c r="A11" s="90" t="s">
        <v>124</v>
      </c>
      <c r="B11" s="92">
        <f>37990</f>
        <v>37990</v>
      </c>
      <c r="C11" s="92">
        <f>39830</f>
        <v>39830</v>
      </c>
      <c r="D11" s="92">
        <f>40430</f>
        <v>40430</v>
      </c>
      <c r="E11" s="92">
        <f>40430</f>
        <v>40430</v>
      </c>
      <c r="F11" s="92">
        <f>42870</f>
        <v>42870</v>
      </c>
      <c r="G11" s="92">
        <f>42870</f>
        <v>42870</v>
      </c>
      <c r="H11" s="92">
        <f t="shared" si="0"/>
        <v>244420</v>
      </c>
    </row>
    <row r="12" spans="1:8" x14ac:dyDescent="0.35">
      <c r="A12" s="90" t="s">
        <v>125</v>
      </c>
      <c r="B12" s="91"/>
      <c r="C12" s="91"/>
      <c r="D12" s="91"/>
      <c r="E12" s="91"/>
      <c r="F12" s="92">
        <f>0</f>
        <v>0</v>
      </c>
      <c r="G12" s="91"/>
      <c r="H12" s="92">
        <f t="shared" si="0"/>
        <v>0</v>
      </c>
    </row>
    <row r="13" spans="1:8" x14ac:dyDescent="0.35">
      <c r="A13" s="90" t="s">
        <v>126</v>
      </c>
      <c r="B13" s="93">
        <f t="shared" ref="B13:G13" si="2">(((B9)+(B10))+(B11))+(B12)</f>
        <v>154391.58000000002</v>
      </c>
      <c r="C13" s="93">
        <f t="shared" si="2"/>
        <v>138244.6</v>
      </c>
      <c r="D13" s="93">
        <f t="shared" si="2"/>
        <v>163503.4</v>
      </c>
      <c r="E13" s="93">
        <f t="shared" si="2"/>
        <v>210766.72999999998</v>
      </c>
      <c r="F13" s="93">
        <f t="shared" si="2"/>
        <v>146987.04999999999</v>
      </c>
      <c r="G13" s="93">
        <f t="shared" si="2"/>
        <v>250683.22</v>
      </c>
      <c r="H13" s="93">
        <f t="shared" si="0"/>
        <v>1064576.58</v>
      </c>
    </row>
    <row r="14" spans="1:8" x14ac:dyDescent="0.35">
      <c r="A14" s="90" t="s">
        <v>127</v>
      </c>
      <c r="B14" s="91"/>
      <c r="C14" s="91"/>
      <c r="D14" s="91"/>
      <c r="E14" s="91"/>
      <c r="F14" s="91"/>
      <c r="G14" s="91"/>
      <c r="H14" s="91"/>
    </row>
    <row r="15" spans="1:8" x14ac:dyDescent="0.35">
      <c r="A15" s="90" t="s">
        <v>128</v>
      </c>
      <c r="B15" s="91">
        <f t="shared" ref="B15:H15" ca="1" si="3">B16/B25</f>
        <v>0.66346111180464917</v>
      </c>
      <c r="C15" s="91">
        <f t="shared" ca="1" si="3"/>
        <v>0.67351762999674036</v>
      </c>
      <c r="D15" s="91">
        <f t="shared" ca="1" si="3"/>
        <v>0.67354879363585152</v>
      </c>
      <c r="E15" s="91">
        <f t="shared" ca="1" si="3"/>
        <v>0.59599530814731794</v>
      </c>
      <c r="F15" s="91">
        <f t="shared" ca="1" si="3"/>
        <v>0.61282405462082834</v>
      </c>
      <c r="G15" s="91">
        <f t="shared" ca="1" si="3"/>
        <v>0.68726570213310179</v>
      </c>
      <c r="H15" s="91">
        <f t="shared" ca="1" si="3"/>
        <v>0.65265664575709381</v>
      </c>
    </row>
    <row r="16" spans="1:8" x14ac:dyDescent="0.35">
      <c r="A16" s="90" t="s">
        <v>129</v>
      </c>
      <c r="B16" s="92">
        <f>74743.01</f>
        <v>74743.009999999995</v>
      </c>
      <c r="C16" s="92">
        <f>69057.57</f>
        <v>69057.570000000007</v>
      </c>
      <c r="D16" s="92">
        <f>86660.73</f>
        <v>86660.73</v>
      </c>
      <c r="E16" s="92">
        <f>66940.2</f>
        <v>66940.2</v>
      </c>
      <c r="F16" s="92">
        <f>70956.27</f>
        <v>70956.27</v>
      </c>
      <c r="G16" s="92">
        <f>97937.34</f>
        <v>97937.34</v>
      </c>
      <c r="H16" s="92">
        <f t="shared" ref="H16:H37" si="4">(((((B16)+(C16))+(D16))+(E16))+(F16))+(G16)</f>
        <v>466295.12</v>
      </c>
    </row>
    <row r="17" spans="1:8" x14ac:dyDescent="0.35">
      <c r="A17" s="90" t="s">
        <v>130</v>
      </c>
      <c r="B17" s="92">
        <f>8584.26</f>
        <v>8584.26</v>
      </c>
      <c r="C17" s="92">
        <f>5466.83</f>
        <v>5466.83</v>
      </c>
      <c r="D17" s="92">
        <f>6757.23</f>
        <v>6757.23</v>
      </c>
      <c r="E17" s="92">
        <f>5796.89</f>
        <v>5796.89</v>
      </c>
      <c r="F17" s="92">
        <f>6167.03</f>
        <v>6167.03</v>
      </c>
      <c r="G17" s="92">
        <f>8370.66</f>
        <v>8370.66</v>
      </c>
      <c r="H17" s="92">
        <f t="shared" si="4"/>
        <v>41142.899999999994</v>
      </c>
    </row>
    <row r="18" spans="1:8" x14ac:dyDescent="0.35">
      <c r="A18" s="90" t="s">
        <v>131</v>
      </c>
      <c r="B18" s="92">
        <f>9749.53</f>
        <v>9749.5300000000007</v>
      </c>
      <c r="C18" s="92">
        <f>8550</f>
        <v>8550</v>
      </c>
      <c r="D18" s="92">
        <f>10607.64</f>
        <v>10607.64</v>
      </c>
      <c r="E18" s="92">
        <f>11505.71</f>
        <v>11505.71</v>
      </c>
      <c r="F18" s="92">
        <f>14358.17</f>
        <v>14358.17</v>
      </c>
      <c r="G18" s="92">
        <f>14811.2</f>
        <v>14811.2</v>
      </c>
      <c r="H18" s="92">
        <f t="shared" si="4"/>
        <v>69582.25</v>
      </c>
    </row>
    <row r="19" spans="1:8" x14ac:dyDescent="0.35">
      <c r="A19" s="90" t="s">
        <v>132</v>
      </c>
      <c r="B19" s="92">
        <f>7189.3</f>
        <v>7189.3</v>
      </c>
      <c r="C19" s="92">
        <f>12614.87</f>
        <v>12614.87</v>
      </c>
      <c r="D19" s="92">
        <f>6631.86</f>
        <v>6631.86</v>
      </c>
      <c r="E19" s="92">
        <f>16116.88</f>
        <v>16116.88</v>
      </c>
      <c r="F19" s="92">
        <f>10941.52</f>
        <v>10941.52</v>
      </c>
      <c r="G19" s="92">
        <f>8303.1</f>
        <v>8303.1</v>
      </c>
      <c r="H19" s="92">
        <f t="shared" si="4"/>
        <v>61797.530000000006</v>
      </c>
    </row>
    <row r="20" spans="1:8" x14ac:dyDescent="0.35">
      <c r="A20" s="90" t="s">
        <v>133</v>
      </c>
      <c r="B20" s="92">
        <f>10</f>
        <v>10</v>
      </c>
      <c r="C20" s="92">
        <f>40.86</f>
        <v>40.86</v>
      </c>
      <c r="D20" s="91"/>
      <c r="E20" s="91"/>
      <c r="F20" s="91"/>
      <c r="G20" s="91"/>
      <c r="H20" s="92">
        <f t="shared" si="4"/>
        <v>50.86</v>
      </c>
    </row>
    <row r="21" spans="1:8" x14ac:dyDescent="0.35">
      <c r="A21" s="90" t="s">
        <v>134</v>
      </c>
      <c r="B21" s="92">
        <f>425</f>
        <v>425</v>
      </c>
      <c r="C21" s="92">
        <f>291.57</f>
        <v>291.57</v>
      </c>
      <c r="D21" s="92">
        <f>830.15</f>
        <v>830.15</v>
      </c>
      <c r="E21" s="92">
        <f>435</f>
        <v>435</v>
      </c>
      <c r="F21" s="92">
        <f>345.53</f>
        <v>345.53</v>
      </c>
      <c r="G21" s="92">
        <f>481.2</f>
        <v>481.2</v>
      </c>
      <c r="H21" s="92">
        <f t="shared" si="4"/>
        <v>2808.45</v>
      </c>
    </row>
    <row r="22" spans="1:8" x14ac:dyDescent="0.35">
      <c r="A22" s="90" t="s">
        <v>135</v>
      </c>
      <c r="B22" s="92">
        <f>11754.44</f>
        <v>11754.44</v>
      </c>
      <c r="C22" s="92">
        <f>6510.31</f>
        <v>6510.31</v>
      </c>
      <c r="D22" s="92">
        <f>10156.21</f>
        <v>10156.209999999999</v>
      </c>
      <c r="E22" s="92">
        <f>9853.05</f>
        <v>9853.0499999999993</v>
      </c>
      <c r="F22" s="92">
        <f>8831.58</f>
        <v>8831.58</v>
      </c>
      <c r="G22" s="92">
        <f>9507.07</f>
        <v>9507.07</v>
      </c>
      <c r="H22" s="92">
        <f t="shared" si="4"/>
        <v>56612.659999999996</v>
      </c>
    </row>
    <row r="23" spans="1:8" x14ac:dyDescent="0.35">
      <c r="A23" s="90" t="s">
        <v>136</v>
      </c>
      <c r="B23" s="91"/>
      <c r="C23" s="91"/>
      <c r="D23" s="92">
        <f>7018.39</f>
        <v>7018.39</v>
      </c>
      <c r="E23" s="92">
        <f>1668.33</f>
        <v>1668.33</v>
      </c>
      <c r="F23" s="92">
        <f>4185</f>
        <v>4185</v>
      </c>
      <c r="G23" s="92">
        <f>3091.62</f>
        <v>3091.62</v>
      </c>
      <c r="H23" s="92">
        <f t="shared" si="4"/>
        <v>15963.34</v>
      </c>
    </row>
    <row r="24" spans="1:8" x14ac:dyDescent="0.35">
      <c r="A24" s="90" t="s">
        <v>137</v>
      </c>
      <c r="B24" s="92">
        <f>200</f>
        <v>200</v>
      </c>
      <c r="C24" s="91"/>
      <c r="D24" s="91"/>
      <c r="E24" s="91"/>
      <c r="F24" s="91"/>
      <c r="G24" s="91"/>
      <c r="H24" s="92">
        <f t="shared" si="4"/>
        <v>200</v>
      </c>
    </row>
    <row r="25" spans="1:8" x14ac:dyDescent="0.35">
      <c r="A25" s="90" t="s">
        <v>138</v>
      </c>
      <c r="B25" s="93">
        <f t="shared" ref="B25:G25" ca="1" si="5">(((((((((B15)+(B16))+(B17))+(B18))+(B19))+(B20))+(B21))+(B22))+(B23))+(B24)</f>
        <v>112656.2034611118</v>
      </c>
      <c r="C25" s="93">
        <f t="shared" ca="1" si="5"/>
        <v>102532.68351763001</v>
      </c>
      <c r="D25" s="93">
        <f t="shared" ca="1" si="5"/>
        <v>128662.88354879363</v>
      </c>
      <c r="E25" s="93">
        <f t="shared" ca="1" si="5"/>
        <v>112316.65599530816</v>
      </c>
      <c r="F25" s="93">
        <f t="shared" ca="1" si="5"/>
        <v>115785.71282405463</v>
      </c>
      <c r="G25" s="93">
        <f t="shared" ca="1" si="5"/>
        <v>142502.87726570212</v>
      </c>
      <c r="H25" s="93">
        <f t="shared" ca="1" si="4"/>
        <v>714457.0166126003</v>
      </c>
    </row>
    <row r="26" spans="1:8" x14ac:dyDescent="0.35">
      <c r="A26" s="90" t="s">
        <v>139</v>
      </c>
      <c r="B26" s="91"/>
      <c r="C26" s="92">
        <f>2278.5</f>
        <v>2278.5</v>
      </c>
      <c r="D26" s="92">
        <f>5628.58</f>
        <v>5628.58</v>
      </c>
      <c r="E26" s="91"/>
      <c r="F26" s="91"/>
      <c r="G26" s="91"/>
      <c r="H26" s="92">
        <f t="shared" si="4"/>
        <v>7907.08</v>
      </c>
    </row>
    <row r="27" spans="1:8" x14ac:dyDescent="0.35">
      <c r="A27" s="90" t="s">
        <v>140</v>
      </c>
      <c r="B27" s="92">
        <f>43783.5</f>
        <v>43783.5</v>
      </c>
      <c r="C27" s="92">
        <f>39756.96</f>
        <v>39756.959999999999</v>
      </c>
      <c r="D27" s="92">
        <f>54377.18</f>
        <v>54377.18</v>
      </c>
      <c r="E27" s="92">
        <f>66233.27</f>
        <v>66233.27</v>
      </c>
      <c r="F27" s="92">
        <f>66098.32</f>
        <v>66098.320000000007</v>
      </c>
      <c r="G27" s="92">
        <f>60538.27</f>
        <v>60538.27</v>
      </c>
      <c r="H27" s="92">
        <f t="shared" si="4"/>
        <v>330787.5</v>
      </c>
    </row>
    <row r="28" spans="1:8" x14ac:dyDescent="0.35">
      <c r="A28" s="90" t="s">
        <v>141</v>
      </c>
      <c r="B28" s="93">
        <f t="shared" ref="B28:G28" si="6">(B26)+(B27)</f>
        <v>43783.5</v>
      </c>
      <c r="C28" s="93">
        <f t="shared" si="6"/>
        <v>42035.46</v>
      </c>
      <c r="D28" s="93">
        <f t="shared" si="6"/>
        <v>60005.760000000002</v>
      </c>
      <c r="E28" s="93">
        <f t="shared" si="6"/>
        <v>66233.27</v>
      </c>
      <c r="F28" s="93">
        <f t="shared" si="6"/>
        <v>66098.320000000007</v>
      </c>
      <c r="G28" s="93">
        <f t="shared" si="6"/>
        <v>60538.27</v>
      </c>
      <c r="H28" s="93">
        <f t="shared" si="4"/>
        <v>338694.58</v>
      </c>
    </row>
    <row r="29" spans="1:8" x14ac:dyDescent="0.35">
      <c r="A29" s="90" t="s">
        <v>142</v>
      </c>
      <c r="B29" s="91"/>
      <c r="C29" s="91"/>
      <c r="D29" s="91"/>
      <c r="E29" s="91"/>
      <c r="F29" s="91"/>
      <c r="G29" s="91"/>
      <c r="H29" s="92">
        <f t="shared" si="4"/>
        <v>0</v>
      </c>
    </row>
    <row r="30" spans="1:8" x14ac:dyDescent="0.35">
      <c r="A30" s="90" t="s">
        <v>143</v>
      </c>
      <c r="B30" s="92">
        <f>6000</f>
        <v>6000</v>
      </c>
      <c r="C30" s="92">
        <f>6000</f>
        <v>6000</v>
      </c>
      <c r="D30" s="92">
        <f>9000</f>
        <v>9000</v>
      </c>
      <c r="E30" s="92">
        <f>11100</f>
        <v>11100</v>
      </c>
      <c r="F30" s="92">
        <f>6000</f>
        <v>6000</v>
      </c>
      <c r="G30" s="92">
        <f>13724.51</f>
        <v>13724.51</v>
      </c>
      <c r="H30" s="92">
        <f t="shared" si="4"/>
        <v>51824.51</v>
      </c>
    </row>
    <row r="31" spans="1:8" x14ac:dyDescent="0.35">
      <c r="A31" s="90" t="s">
        <v>144</v>
      </c>
      <c r="B31" s="92">
        <f>831.31</f>
        <v>831.31</v>
      </c>
      <c r="C31" s="92">
        <f>512.99</f>
        <v>512.99</v>
      </c>
      <c r="D31" s="92">
        <f>659.8</f>
        <v>659.8</v>
      </c>
      <c r="E31" s="92">
        <f>616.01</f>
        <v>616.01</v>
      </c>
      <c r="F31" s="92">
        <f>616.03</f>
        <v>616.03</v>
      </c>
      <c r="G31" s="92">
        <f>484.04</f>
        <v>484.04</v>
      </c>
      <c r="H31" s="92">
        <f t="shared" si="4"/>
        <v>3720.1799999999994</v>
      </c>
    </row>
    <row r="32" spans="1:8" x14ac:dyDescent="0.35">
      <c r="A32" s="90" t="s">
        <v>145</v>
      </c>
      <c r="B32" s="92">
        <f>566.64</f>
        <v>566.64</v>
      </c>
      <c r="C32" s="92">
        <f>1067.8</f>
        <v>1067.8</v>
      </c>
      <c r="D32" s="92">
        <f>1601.7</f>
        <v>1601.7</v>
      </c>
      <c r="E32" s="92">
        <f>1536.33</f>
        <v>1536.33</v>
      </c>
      <c r="F32" s="92">
        <f>1547.67</f>
        <v>1547.67</v>
      </c>
      <c r="G32" s="92">
        <f>1216.03</f>
        <v>1216.03</v>
      </c>
      <c r="H32" s="92">
        <f t="shared" si="4"/>
        <v>7536.17</v>
      </c>
    </row>
    <row r="33" spans="1:8" x14ac:dyDescent="0.35">
      <c r="A33" s="90" t="s">
        <v>146</v>
      </c>
      <c r="B33" s="92">
        <f>1500</f>
        <v>1500</v>
      </c>
      <c r="C33" s="92">
        <f>3000</f>
        <v>3000</v>
      </c>
      <c r="D33" s="92">
        <f>3000</f>
        <v>3000</v>
      </c>
      <c r="E33" s="91"/>
      <c r="F33" s="91"/>
      <c r="G33" s="91"/>
      <c r="H33" s="92">
        <f t="shared" si="4"/>
        <v>7500</v>
      </c>
    </row>
    <row r="34" spans="1:8" x14ac:dyDescent="0.35">
      <c r="A34" s="90" t="s">
        <v>147</v>
      </c>
      <c r="B34" s="93">
        <f t="shared" ref="B34:G34" si="7">((((B29)+(B30))+(B31))+(B32))+(B33)</f>
        <v>8897.9500000000007</v>
      </c>
      <c r="C34" s="93">
        <f t="shared" si="7"/>
        <v>10580.79</v>
      </c>
      <c r="D34" s="93">
        <f t="shared" si="7"/>
        <v>14261.5</v>
      </c>
      <c r="E34" s="93">
        <f t="shared" si="7"/>
        <v>13252.34</v>
      </c>
      <c r="F34" s="93">
        <f t="shared" si="7"/>
        <v>8163.7</v>
      </c>
      <c r="G34" s="93">
        <f t="shared" si="7"/>
        <v>15424.580000000002</v>
      </c>
      <c r="H34" s="93">
        <f t="shared" si="4"/>
        <v>70580.86</v>
      </c>
    </row>
    <row r="35" spans="1:8" x14ac:dyDescent="0.35">
      <c r="A35" s="90" t="s">
        <v>148</v>
      </c>
      <c r="B35" s="91"/>
      <c r="C35" s="91"/>
      <c r="D35" s="91"/>
      <c r="E35" s="91"/>
      <c r="F35" s="91"/>
      <c r="G35" s="92">
        <f>0</f>
        <v>0</v>
      </c>
      <c r="H35" s="92">
        <f t="shared" si="4"/>
        <v>0</v>
      </c>
    </row>
    <row r="36" spans="1:8" x14ac:dyDescent="0.35">
      <c r="A36" s="90" t="s">
        <v>149</v>
      </c>
      <c r="B36" s="93">
        <f ca="1">(((B25)+(B28))+(B34))+(B35)</f>
        <v>165337.65346111183</v>
      </c>
      <c r="C36" s="93">
        <f ca="1">(((C25)+(C28))+(C34))+(C35)</f>
        <v>155148.93351763001</v>
      </c>
      <c r="D36" s="93">
        <f t="shared" ref="D36:G36" ca="1" si="8">(((D25)+(D28))+(D34))+(D35)</f>
        <v>202930.14354879363</v>
      </c>
      <c r="E36" s="93">
        <f t="shared" ca="1" si="8"/>
        <v>191802.26599530815</v>
      </c>
      <c r="F36" s="93">
        <f t="shared" ca="1" si="8"/>
        <v>190047.73282405466</v>
      </c>
      <c r="G36" s="93">
        <f t="shared" ca="1" si="8"/>
        <v>218465.72726570209</v>
      </c>
      <c r="H36" s="93">
        <f t="shared" ca="1" si="4"/>
        <v>1123732.4566126005</v>
      </c>
    </row>
    <row r="37" spans="1:8" x14ac:dyDescent="0.35">
      <c r="A37" s="90" t="s">
        <v>1</v>
      </c>
      <c r="B37" s="93">
        <f ca="1">(B13)-(B36)</f>
        <v>-10946.07346111181</v>
      </c>
      <c r="C37" s="93">
        <f t="shared" ref="C37:G37" ca="1" si="9">(C13)-(C36)</f>
        <v>-16904.333517630002</v>
      </c>
      <c r="D37" s="93">
        <f t="shared" ca="1" si="9"/>
        <v>-39426.743548793631</v>
      </c>
      <c r="E37" s="93">
        <f t="shared" ca="1" si="9"/>
        <v>18964.464004691836</v>
      </c>
      <c r="F37" s="93">
        <f t="shared" ca="1" si="9"/>
        <v>-43060.682824054675</v>
      </c>
      <c r="G37" s="93">
        <f t="shared" ca="1" si="9"/>
        <v>32217.492734297906</v>
      </c>
      <c r="H37" s="93">
        <f t="shared" ca="1" si="4"/>
        <v>-59155.876612600376</v>
      </c>
    </row>
    <row r="38" spans="1:8" x14ac:dyDescent="0.35">
      <c r="A38" s="90" t="s">
        <v>150</v>
      </c>
      <c r="B38" s="91"/>
      <c r="C38" s="91"/>
      <c r="D38" s="91"/>
      <c r="E38" s="91"/>
      <c r="F38" s="91"/>
      <c r="G38" s="91"/>
      <c r="H38" s="91"/>
    </row>
    <row r="39" spans="1:8" x14ac:dyDescent="0.35">
      <c r="A39" s="90" t="s">
        <v>151</v>
      </c>
      <c r="B39" s="91"/>
      <c r="C39" s="91"/>
      <c r="D39" s="91"/>
      <c r="E39" s="91"/>
      <c r="F39" s="91"/>
      <c r="G39" s="91"/>
      <c r="H39" s="92">
        <f t="shared" ref="H39:H94" si="10">(((((B39)+(C39))+(D39))+(E39))+(F39))+(G39)</f>
        <v>0</v>
      </c>
    </row>
    <row r="40" spans="1:8" x14ac:dyDescent="0.35">
      <c r="A40" s="90" t="s">
        <v>152</v>
      </c>
      <c r="B40" s="92">
        <f>105551.35</f>
        <v>105551.35</v>
      </c>
      <c r="C40" s="92">
        <f>95144.78</f>
        <v>95144.78</v>
      </c>
      <c r="D40" s="92">
        <f>122680.5</f>
        <v>122680.5</v>
      </c>
      <c r="E40" s="92">
        <f>123679.89</f>
        <v>123679.89</v>
      </c>
      <c r="F40" s="92">
        <f>180764.76</f>
        <v>180764.76</v>
      </c>
      <c r="G40" s="92">
        <f>252938.89</f>
        <v>252938.89</v>
      </c>
      <c r="H40" s="92">
        <f t="shared" si="10"/>
        <v>880760.17</v>
      </c>
    </row>
    <row r="41" spans="1:8" x14ac:dyDescent="0.35">
      <c r="A41" s="90" t="s">
        <v>153</v>
      </c>
      <c r="B41" s="92">
        <f>10268.21</f>
        <v>10268.209999999999</v>
      </c>
      <c r="C41" s="92">
        <f>7172.29</f>
        <v>7172.29</v>
      </c>
      <c r="D41" s="92">
        <f>9854.82</f>
        <v>9854.82</v>
      </c>
      <c r="E41" s="92">
        <f>9706.51</f>
        <v>9706.51</v>
      </c>
      <c r="F41" s="92">
        <f>15858.82</f>
        <v>15858.82</v>
      </c>
      <c r="G41" s="92">
        <f>20704.99</f>
        <v>20704.990000000002</v>
      </c>
      <c r="H41" s="92">
        <f t="shared" si="10"/>
        <v>73565.64</v>
      </c>
    </row>
    <row r="42" spans="1:8" x14ac:dyDescent="0.35">
      <c r="A42" s="90" t="s">
        <v>154</v>
      </c>
      <c r="B42" s="92">
        <f>7833.85</f>
        <v>7833.85</v>
      </c>
      <c r="C42" s="92">
        <f>6263.99</f>
        <v>6263.99</v>
      </c>
      <c r="D42" s="92">
        <f>8189.87</f>
        <v>8189.87</v>
      </c>
      <c r="E42" s="92">
        <f>12580.9</f>
        <v>12580.9</v>
      </c>
      <c r="F42" s="92">
        <f>16005.96</f>
        <v>16005.96</v>
      </c>
      <c r="G42" s="92">
        <f>16885.21</f>
        <v>16885.21</v>
      </c>
      <c r="H42" s="92">
        <f t="shared" si="10"/>
        <v>67759.78</v>
      </c>
    </row>
    <row r="43" spans="1:8" x14ac:dyDescent="0.35">
      <c r="A43" s="90" t="s">
        <v>155</v>
      </c>
      <c r="B43" s="93">
        <f t="shared" ref="B43:G43" si="11">(((B39)+(B40))+(B41))+(B42)</f>
        <v>123653.41</v>
      </c>
      <c r="C43" s="93">
        <f t="shared" si="11"/>
        <v>108581.06</v>
      </c>
      <c r="D43" s="93">
        <f t="shared" si="11"/>
        <v>140725.19</v>
      </c>
      <c r="E43" s="93">
        <f t="shared" si="11"/>
        <v>145967.29999999999</v>
      </c>
      <c r="F43" s="93">
        <f t="shared" si="11"/>
        <v>212629.54</v>
      </c>
      <c r="G43" s="93">
        <f t="shared" si="11"/>
        <v>290529.09000000003</v>
      </c>
      <c r="H43" s="93">
        <f t="shared" si="10"/>
        <v>1022085.5900000001</v>
      </c>
    </row>
    <row r="44" spans="1:8" x14ac:dyDescent="0.35">
      <c r="A44" s="90" t="s">
        <v>156</v>
      </c>
      <c r="B44" s="91"/>
      <c r="C44" s="91"/>
      <c r="D44" s="91"/>
      <c r="E44" s="91"/>
      <c r="F44" s="91"/>
      <c r="G44" s="91"/>
      <c r="H44" s="92">
        <f t="shared" si="10"/>
        <v>0</v>
      </c>
    </row>
    <row r="45" spans="1:8" x14ac:dyDescent="0.35">
      <c r="A45" s="90" t="s">
        <v>157</v>
      </c>
      <c r="B45" s="92">
        <f>9084.45</f>
        <v>9084.4500000000007</v>
      </c>
      <c r="C45" s="92">
        <f>13593.55</f>
        <v>13593.55</v>
      </c>
      <c r="D45" s="92">
        <f>20406.2</f>
        <v>20406.2</v>
      </c>
      <c r="E45" s="92">
        <f>19448</f>
        <v>19448</v>
      </c>
      <c r="F45" s="92">
        <f>21861.35</f>
        <v>21861.35</v>
      </c>
      <c r="G45" s="92">
        <f>23312.1</f>
        <v>23312.1</v>
      </c>
      <c r="H45" s="92">
        <f t="shared" si="10"/>
        <v>107705.65</v>
      </c>
    </row>
    <row r="46" spans="1:8" x14ac:dyDescent="0.35">
      <c r="A46" s="90" t="s">
        <v>158</v>
      </c>
      <c r="B46" s="92">
        <f>13873</f>
        <v>13873</v>
      </c>
      <c r="C46" s="92">
        <f>8090</f>
        <v>8090</v>
      </c>
      <c r="D46" s="92">
        <f>8858.5</f>
        <v>8858.5</v>
      </c>
      <c r="E46" s="92">
        <f>9828.5</f>
        <v>9828.5</v>
      </c>
      <c r="F46" s="92">
        <f>31606.31</f>
        <v>31606.31</v>
      </c>
      <c r="G46" s="92">
        <f>10749</f>
        <v>10749</v>
      </c>
      <c r="H46" s="92">
        <f t="shared" si="10"/>
        <v>83005.31</v>
      </c>
    </row>
    <row r="47" spans="1:8" x14ac:dyDescent="0.35">
      <c r="A47" s="90" t="s">
        <v>159</v>
      </c>
      <c r="B47" s="92">
        <f>3800</f>
        <v>3800</v>
      </c>
      <c r="C47" s="92">
        <f>3800</f>
        <v>3800</v>
      </c>
      <c r="D47" s="92">
        <f>3800</f>
        <v>3800</v>
      </c>
      <c r="E47" s="92">
        <f>8000</f>
        <v>8000</v>
      </c>
      <c r="F47" s="92">
        <f>8000</f>
        <v>8000</v>
      </c>
      <c r="G47" s="91"/>
      <c r="H47" s="92">
        <f t="shared" si="10"/>
        <v>27400</v>
      </c>
    </row>
    <row r="48" spans="1:8" x14ac:dyDescent="0.35">
      <c r="A48" s="90" t="s">
        <v>160</v>
      </c>
      <c r="B48" s="92">
        <f>54500</f>
        <v>54500</v>
      </c>
      <c r="C48" s="92">
        <f>54100</f>
        <v>54100</v>
      </c>
      <c r="D48" s="92">
        <f>52620</f>
        <v>52620</v>
      </c>
      <c r="E48" s="92">
        <f>45398</f>
        <v>45398</v>
      </c>
      <c r="F48" s="92">
        <f>61139.7</f>
        <v>61139.7</v>
      </c>
      <c r="G48" s="92">
        <f>90105.2</f>
        <v>90105.2</v>
      </c>
      <c r="H48" s="92">
        <f t="shared" si="10"/>
        <v>357862.9</v>
      </c>
    </row>
    <row r="49" spans="1:8" x14ac:dyDescent="0.35">
      <c r="A49" s="90" t="s">
        <v>161</v>
      </c>
      <c r="B49" s="92">
        <f>9000</f>
        <v>9000</v>
      </c>
      <c r="C49" s="92">
        <f>9200</f>
        <v>9200</v>
      </c>
      <c r="D49" s="92">
        <f>9000</f>
        <v>9000</v>
      </c>
      <c r="E49" s="92">
        <f>26000</f>
        <v>26000</v>
      </c>
      <c r="F49" s="92">
        <f>23500</f>
        <v>23500</v>
      </c>
      <c r="G49" s="92">
        <f>26000</f>
        <v>26000</v>
      </c>
      <c r="H49" s="92">
        <f t="shared" si="10"/>
        <v>102700</v>
      </c>
    </row>
    <row r="50" spans="1:8" x14ac:dyDescent="0.35">
      <c r="A50" s="90" t="s">
        <v>162</v>
      </c>
      <c r="B50" s="91"/>
      <c r="C50" s="91"/>
      <c r="D50" s="92">
        <f>5760</f>
        <v>5760</v>
      </c>
      <c r="E50" s="92">
        <f>2288.4</f>
        <v>2288.4</v>
      </c>
      <c r="F50" s="92">
        <f>67260</f>
        <v>67260</v>
      </c>
      <c r="G50" s="92">
        <f>70500</f>
        <v>70500</v>
      </c>
      <c r="H50" s="92">
        <f t="shared" si="10"/>
        <v>145808.4</v>
      </c>
    </row>
    <row r="51" spans="1:8" x14ac:dyDescent="0.35">
      <c r="A51" s="90" t="s">
        <v>163</v>
      </c>
      <c r="B51" s="92">
        <f>31512.46</f>
        <v>31512.46</v>
      </c>
      <c r="C51" s="92">
        <f>4755.06</f>
        <v>4755.0600000000004</v>
      </c>
      <c r="D51" s="92">
        <f>19715.28</f>
        <v>19715.28</v>
      </c>
      <c r="E51" s="92">
        <f>10523.95</f>
        <v>10523.95</v>
      </c>
      <c r="F51" s="92">
        <f>15631.23</f>
        <v>15631.23</v>
      </c>
      <c r="G51" s="92">
        <f>16948.63</f>
        <v>16948.63</v>
      </c>
      <c r="H51" s="92">
        <f t="shared" si="10"/>
        <v>99086.61</v>
      </c>
    </row>
    <row r="52" spans="1:8" x14ac:dyDescent="0.35">
      <c r="A52" s="90" t="s">
        <v>164</v>
      </c>
      <c r="B52" s="93">
        <f t="shared" ref="B52:G52" si="12">(((((((B44)+(B45))+(B46))+(B47))+(B48))+(B49))+(B50))+(B51)</f>
        <v>121769.91</v>
      </c>
      <c r="C52" s="93">
        <f t="shared" si="12"/>
        <v>93538.61</v>
      </c>
      <c r="D52" s="93">
        <f t="shared" si="12"/>
        <v>120159.98</v>
      </c>
      <c r="E52" s="93">
        <f t="shared" si="12"/>
        <v>121486.84999999999</v>
      </c>
      <c r="F52" s="93">
        <f t="shared" si="12"/>
        <v>228998.59</v>
      </c>
      <c r="G52" s="93">
        <f t="shared" si="12"/>
        <v>237614.93</v>
      </c>
      <c r="H52" s="93">
        <f t="shared" si="10"/>
        <v>923568.86999999988</v>
      </c>
    </row>
    <row r="53" spans="1:8" x14ac:dyDescent="0.35">
      <c r="A53" s="90" t="s">
        <v>165</v>
      </c>
      <c r="B53" s="91"/>
      <c r="C53" s="91"/>
      <c r="D53" s="91"/>
      <c r="E53" s="91"/>
      <c r="F53" s="91"/>
      <c r="G53" s="91"/>
      <c r="H53" s="92">
        <f t="shared" si="10"/>
        <v>0</v>
      </c>
    </row>
    <row r="54" spans="1:8" x14ac:dyDescent="0.35">
      <c r="A54" s="90" t="s">
        <v>166</v>
      </c>
      <c r="B54" s="92">
        <f>3502</f>
        <v>3502</v>
      </c>
      <c r="C54" s="92">
        <f>2920</f>
        <v>2920</v>
      </c>
      <c r="D54" s="92">
        <f>22468.84</f>
        <v>22468.84</v>
      </c>
      <c r="E54" s="92">
        <f>22920</f>
        <v>22920</v>
      </c>
      <c r="F54" s="92">
        <f>12480.38</f>
        <v>12480.38</v>
      </c>
      <c r="G54" s="92">
        <f>139.4</f>
        <v>139.4</v>
      </c>
      <c r="H54" s="92">
        <f t="shared" si="10"/>
        <v>64430.619999999995</v>
      </c>
    </row>
    <row r="55" spans="1:8" x14ac:dyDescent="0.35">
      <c r="A55" s="90" t="s">
        <v>167</v>
      </c>
      <c r="B55" s="91"/>
      <c r="C55" s="92">
        <f>2873.9</f>
        <v>2873.9</v>
      </c>
      <c r="D55" s="92">
        <f>6871.09</f>
        <v>6871.09</v>
      </c>
      <c r="E55" s="92">
        <f>3420</f>
        <v>3420</v>
      </c>
      <c r="F55" s="92">
        <f>5834.85</f>
        <v>5834.85</v>
      </c>
      <c r="G55" s="91"/>
      <c r="H55" s="92">
        <f t="shared" si="10"/>
        <v>18999.84</v>
      </c>
    </row>
    <row r="56" spans="1:8" x14ac:dyDescent="0.35">
      <c r="A56" s="90" t="s">
        <v>168</v>
      </c>
      <c r="B56" s="93">
        <f t="shared" ref="B56:G56" si="13">((B53)+(B54))+(B55)</f>
        <v>3502</v>
      </c>
      <c r="C56" s="93">
        <f t="shared" si="13"/>
        <v>5793.9</v>
      </c>
      <c r="D56" s="93">
        <f t="shared" si="13"/>
        <v>29339.93</v>
      </c>
      <c r="E56" s="93">
        <f t="shared" si="13"/>
        <v>26340</v>
      </c>
      <c r="F56" s="93">
        <f t="shared" si="13"/>
        <v>18315.23</v>
      </c>
      <c r="G56" s="93">
        <f t="shared" si="13"/>
        <v>139.4</v>
      </c>
      <c r="H56" s="93">
        <f t="shared" si="10"/>
        <v>83430.459999999992</v>
      </c>
    </row>
    <row r="57" spans="1:8" x14ac:dyDescent="0.35">
      <c r="A57" s="90" t="s">
        <v>169</v>
      </c>
      <c r="B57" s="91"/>
      <c r="C57" s="91"/>
      <c r="D57" s="91"/>
      <c r="E57" s="91"/>
      <c r="F57" s="91"/>
      <c r="G57" s="91"/>
      <c r="H57" s="92">
        <f t="shared" si="10"/>
        <v>0</v>
      </c>
    </row>
    <row r="58" spans="1:8" x14ac:dyDescent="0.35">
      <c r="A58" s="90" t="s">
        <v>170</v>
      </c>
      <c r="B58" s="91"/>
      <c r="C58" s="92">
        <f>1412.5</f>
        <v>1412.5</v>
      </c>
      <c r="D58" s="92">
        <f>734.5</f>
        <v>734.5</v>
      </c>
      <c r="E58" s="92">
        <f>508.5</f>
        <v>508.5</v>
      </c>
      <c r="F58" s="92">
        <f>904</f>
        <v>904</v>
      </c>
      <c r="G58" s="92">
        <f>466.55</f>
        <v>466.55</v>
      </c>
      <c r="H58" s="92">
        <f t="shared" si="10"/>
        <v>4026.05</v>
      </c>
    </row>
    <row r="59" spans="1:8" x14ac:dyDescent="0.35">
      <c r="A59" s="90" t="s">
        <v>171</v>
      </c>
      <c r="B59" s="92">
        <f>21.35</f>
        <v>21.35</v>
      </c>
      <c r="C59" s="92">
        <f>352.39</f>
        <v>352.39</v>
      </c>
      <c r="D59" s="92">
        <f>6057.87</f>
        <v>6057.87</v>
      </c>
      <c r="E59" s="92">
        <f>476.34</f>
        <v>476.34</v>
      </c>
      <c r="F59" s="92">
        <f>1649.63</f>
        <v>1649.63</v>
      </c>
      <c r="G59" s="92">
        <f>1551.95</f>
        <v>1551.95</v>
      </c>
      <c r="H59" s="92">
        <f t="shared" si="10"/>
        <v>10109.530000000001</v>
      </c>
    </row>
    <row r="60" spans="1:8" x14ac:dyDescent="0.35">
      <c r="A60" s="90" t="s">
        <v>172</v>
      </c>
      <c r="B60" s="92">
        <f>100</f>
        <v>100</v>
      </c>
      <c r="C60" s="92">
        <f>1869.15</f>
        <v>1869.15</v>
      </c>
      <c r="D60" s="92">
        <f>789.28</f>
        <v>789.28</v>
      </c>
      <c r="E60" s="92">
        <f>203.54</f>
        <v>203.54</v>
      </c>
      <c r="F60" s="92">
        <f>108</f>
        <v>108</v>
      </c>
      <c r="G60" s="92">
        <f>811.74</f>
        <v>811.74</v>
      </c>
      <c r="H60" s="92">
        <f t="shared" si="10"/>
        <v>3881.71</v>
      </c>
    </row>
    <row r="61" spans="1:8" x14ac:dyDescent="0.35">
      <c r="A61" s="90" t="s">
        <v>173</v>
      </c>
      <c r="B61" s="91"/>
      <c r="C61" s="92">
        <f>715</f>
        <v>715</v>
      </c>
      <c r="D61" s="92">
        <f>10363</f>
        <v>10363</v>
      </c>
      <c r="E61" s="92">
        <f>449</f>
        <v>449</v>
      </c>
      <c r="F61" s="92">
        <f>6293.94</f>
        <v>6293.94</v>
      </c>
      <c r="G61" s="92">
        <f>2822.4</f>
        <v>2822.4</v>
      </c>
      <c r="H61" s="92">
        <f t="shared" si="10"/>
        <v>20643.34</v>
      </c>
    </row>
    <row r="62" spans="1:8" x14ac:dyDescent="0.35">
      <c r="A62" s="90" t="s">
        <v>174</v>
      </c>
      <c r="B62" s="91"/>
      <c r="C62" s="92">
        <f>-5.24</f>
        <v>-5.24</v>
      </c>
      <c r="D62" s="92">
        <f>707.33</f>
        <v>707.33</v>
      </c>
      <c r="E62" s="92">
        <f>290.16</f>
        <v>290.16000000000003</v>
      </c>
      <c r="F62" s="92">
        <f>2470.71</f>
        <v>2470.71</v>
      </c>
      <c r="G62" s="92">
        <f>491.28</f>
        <v>491.28</v>
      </c>
      <c r="H62" s="92">
        <f t="shared" si="10"/>
        <v>3954.24</v>
      </c>
    </row>
    <row r="63" spans="1:8" x14ac:dyDescent="0.35">
      <c r="A63" s="90" t="s">
        <v>175</v>
      </c>
      <c r="B63" s="92">
        <f>5616.27</f>
        <v>5616.27</v>
      </c>
      <c r="C63" s="92">
        <f>2177.82</f>
        <v>2177.8200000000002</v>
      </c>
      <c r="D63" s="92">
        <f>9662.16</f>
        <v>9662.16</v>
      </c>
      <c r="E63" s="92">
        <f>15150.53</f>
        <v>15150.53</v>
      </c>
      <c r="F63" s="92">
        <f>16836.65</f>
        <v>16836.650000000001</v>
      </c>
      <c r="G63" s="92">
        <f>16348.69</f>
        <v>16348.69</v>
      </c>
      <c r="H63" s="92">
        <f t="shared" si="10"/>
        <v>65792.12</v>
      </c>
    </row>
    <row r="64" spans="1:8" x14ac:dyDescent="0.35">
      <c r="A64" s="90" t="s">
        <v>176</v>
      </c>
      <c r="B64" s="92">
        <f>3757.59</f>
        <v>3757.59</v>
      </c>
      <c r="C64" s="92">
        <f>3559.07</f>
        <v>3559.07</v>
      </c>
      <c r="D64" s="92">
        <f>6670.7</f>
        <v>6670.7</v>
      </c>
      <c r="E64" s="92">
        <f>5923.12</f>
        <v>5923.12</v>
      </c>
      <c r="F64" s="92">
        <f>4410.41</f>
        <v>4410.41</v>
      </c>
      <c r="G64" s="92">
        <f>4498.62</f>
        <v>4498.62</v>
      </c>
      <c r="H64" s="92">
        <f t="shared" si="10"/>
        <v>28819.51</v>
      </c>
    </row>
    <row r="65" spans="1:8" x14ac:dyDescent="0.35">
      <c r="A65" s="90" t="s">
        <v>177</v>
      </c>
      <c r="B65" s="92">
        <f>4562.74</f>
        <v>4562.74</v>
      </c>
      <c r="C65" s="92">
        <f>2692.28</f>
        <v>2692.28</v>
      </c>
      <c r="D65" s="92">
        <f>3620.07</f>
        <v>3620.07</v>
      </c>
      <c r="E65" s="92">
        <f>3233.08</f>
        <v>3233.08</v>
      </c>
      <c r="F65" s="92">
        <f>4080.66</f>
        <v>4080.66</v>
      </c>
      <c r="G65" s="92">
        <f>10410.05</f>
        <v>10410.049999999999</v>
      </c>
      <c r="H65" s="92">
        <f t="shared" si="10"/>
        <v>28598.880000000001</v>
      </c>
    </row>
    <row r="66" spans="1:8" x14ac:dyDescent="0.35">
      <c r="A66" s="90" t="s">
        <v>178</v>
      </c>
      <c r="B66" s="91"/>
      <c r="C66" s="91"/>
      <c r="D66" s="91"/>
      <c r="E66" s="92">
        <f>624.92</f>
        <v>624.91999999999996</v>
      </c>
      <c r="F66" s="92">
        <f>974.92</f>
        <v>974.92</v>
      </c>
      <c r="G66" s="92">
        <f>974.92</f>
        <v>974.92</v>
      </c>
      <c r="H66" s="92">
        <f t="shared" si="10"/>
        <v>2574.7599999999998</v>
      </c>
    </row>
    <row r="67" spans="1:8" x14ac:dyDescent="0.35">
      <c r="A67" s="90" t="s">
        <v>179</v>
      </c>
      <c r="B67" s="91"/>
      <c r="C67" s="91"/>
      <c r="D67" s="91"/>
      <c r="E67" s="91"/>
      <c r="F67" s="91"/>
      <c r="G67" s="91"/>
      <c r="H67" s="92">
        <f t="shared" si="10"/>
        <v>0</v>
      </c>
    </row>
    <row r="68" spans="1:8" x14ac:dyDescent="0.35">
      <c r="A68" s="90" t="s">
        <v>180</v>
      </c>
      <c r="B68" s="92">
        <f>4569.27</f>
        <v>4569.2700000000004</v>
      </c>
      <c r="C68" s="92">
        <f>3597.73</f>
        <v>3597.73</v>
      </c>
      <c r="D68" s="92">
        <f>6229.66</f>
        <v>6229.66</v>
      </c>
      <c r="E68" s="92">
        <f>3747.01</f>
        <v>3747.01</v>
      </c>
      <c r="F68" s="92">
        <f>5637.96</f>
        <v>5637.96</v>
      </c>
      <c r="G68" s="92">
        <f>-4339.84</f>
        <v>-4339.84</v>
      </c>
      <c r="H68" s="92">
        <f t="shared" si="10"/>
        <v>19441.789999999997</v>
      </c>
    </row>
    <row r="69" spans="1:8" x14ac:dyDescent="0.35">
      <c r="A69" s="90" t="s">
        <v>181</v>
      </c>
      <c r="B69" s="93">
        <f t="shared" ref="B69:G69" si="14">(B67)+(B68)</f>
        <v>4569.2700000000004</v>
      </c>
      <c r="C69" s="93">
        <f t="shared" si="14"/>
        <v>3597.73</v>
      </c>
      <c r="D69" s="93">
        <f t="shared" si="14"/>
        <v>6229.66</v>
      </c>
      <c r="E69" s="93">
        <f t="shared" si="14"/>
        <v>3747.01</v>
      </c>
      <c r="F69" s="93">
        <f t="shared" si="14"/>
        <v>5637.96</v>
      </c>
      <c r="G69" s="93">
        <f t="shared" si="14"/>
        <v>-4339.84</v>
      </c>
      <c r="H69" s="93">
        <f t="shared" si="10"/>
        <v>19441.789999999997</v>
      </c>
    </row>
    <row r="70" spans="1:8" x14ac:dyDescent="0.35">
      <c r="A70" s="90" t="s">
        <v>182</v>
      </c>
      <c r="B70" s="92">
        <f>106.23</f>
        <v>106.23</v>
      </c>
      <c r="C70" s="92">
        <f>391.59</f>
        <v>391.59</v>
      </c>
      <c r="D70" s="92">
        <f>294.06</f>
        <v>294.06</v>
      </c>
      <c r="E70" s="92">
        <f>236.75</f>
        <v>236.75</v>
      </c>
      <c r="F70" s="92">
        <f>2047.57</f>
        <v>2047.57</v>
      </c>
      <c r="G70" s="92">
        <f>464.13</f>
        <v>464.13</v>
      </c>
      <c r="H70" s="92">
        <f t="shared" si="10"/>
        <v>3540.33</v>
      </c>
    </row>
    <row r="71" spans="1:8" x14ac:dyDescent="0.35">
      <c r="A71" s="90" t="s">
        <v>183</v>
      </c>
      <c r="B71" s="92">
        <f>3499</f>
        <v>3499</v>
      </c>
      <c r="C71" s="92">
        <f>2520.06</f>
        <v>2520.06</v>
      </c>
      <c r="D71" s="92">
        <f>10475.04</f>
        <v>10475.040000000001</v>
      </c>
      <c r="E71" s="92">
        <f>4611.29</f>
        <v>4611.29</v>
      </c>
      <c r="F71" s="92">
        <f>5269.87</f>
        <v>5269.87</v>
      </c>
      <c r="G71" s="92">
        <f>7279.99</f>
        <v>7279.99</v>
      </c>
      <c r="H71" s="92">
        <f t="shared" si="10"/>
        <v>33655.25</v>
      </c>
    </row>
    <row r="72" spans="1:8" x14ac:dyDescent="0.35">
      <c r="A72" s="90" t="s">
        <v>184</v>
      </c>
      <c r="B72" s="92">
        <f>8182.28</f>
        <v>8182.28</v>
      </c>
      <c r="C72" s="92">
        <f>5168.67</f>
        <v>5168.67</v>
      </c>
      <c r="D72" s="92">
        <f>11934.16</f>
        <v>11934.16</v>
      </c>
      <c r="E72" s="92">
        <f>6245.02</f>
        <v>6245.02</v>
      </c>
      <c r="F72" s="92">
        <f>9377.28</f>
        <v>9377.2800000000007</v>
      </c>
      <c r="G72" s="92">
        <f>9285.61</f>
        <v>9285.61</v>
      </c>
      <c r="H72" s="92">
        <f t="shared" si="10"/>
        <v>50193.020000000004</v>
      </c>
    </row>
    <row r="73" spans="1:8" x14ac:dyDescent="0.35">
      <c r="A73" s="90" t="s">
        <v>185</v>
      </c>
      <c r="B73" s="93">
        <f t="shared" ref="B73:G73" si="15">(((((((((((((B57)+(B58))+(B59))+(B60))+(B61))+(B62))+(B63))+(B64))+(B65))+(B66))+(B69))+(B70))+(B71))+(B72)</f>
        <v>30414.73</v>
      </c>
      <c r="C73" s="93">
        <f t="shared" si="15"/>
        <v>24451.020000000004</v>
      </c>
      <c r="D73" s="93">
        <f t="shared" si="15"/>
        <v>67537.83</v>
      </c>
      <c r="E73" s="93">
        <f t="shared" si="15"/>
        <v>41699.259999999995</v>
      </c>
      <c r="F73" s="93">
        <f t="shared" si="15"/>
        <v>60061.599999999999</v>
      </c>
      <c r="G73" s="93">
        <f t="shared" si="15"/>
        <v>51066.09</v>
      </c>
      <c r="H73" s="93">
        <f t="shared" si="10"/>
        <v>275230.53000000003</v>
      </c>
    </row>
    <row r="74" spans="1:8" x14ac:dyDescent="0.35">
      <c r="A74" s="90" t="s">
        <v>186</v>
      </c>
      <c r="B74" s="91"/>
      <c r="C74" s="91"/>
      <c r="D74" s="91"/>
      <c r="E74" s="91"/>
      <c r="F74" s="91"/>
      <c r="G74" s="91"/>
      <c r="H74" s="92">
        <f t="shared" si="10"/>
        <v>0</v>
      </c>
    </row>
    <row r="75" spans="1:8" x14ac:dyDescent="0.35">
      <c r="A75" s="90" t="s">
        <v>187</v>
      </c>
      <c r="B75" s="92">
        <f>21654.81</f>
        <v>21654.81</v>
      </c>
      <c r="C75" s="92">
        <f>30026.3</f>
        <v>30026.3</v>
      </c>
      <c r="D75" s="92">
        <f>52112.66</f>
        <v>52112.66</v>
      </c>
      <c r="E75" s="92">
        <f>33016.07</f>
        <v>33016.07</v>
      </c>
      <c r="F75" s="92">
        <f>63704.7</f>
        <v>63704.7</v>
      </c>
      <c r="G75" s="92">
        <f>70845.42</f>
        <v>70845.42</v>
      </c>
      <c r="H75" s="92">
        <f t="shared" si="10"/>
        <v>271359.95999999996</v>
      </c>
    </row>
    <row r="76" spans="1:8" x14ac:dyDescent="0.35">
      <c r="A76" s="90" t="s">
        <v>188</v>
      </c>
      <c r="B76" s="92">
        <f>6736.49</f>
        <v>6736.49</v>
      </c>
      <c r="C76" s="92">
        <f>16124.78</f>
        <v>16124.78</v>
      </c>
      <c r="D76" s="92">
        <f>39716.75</f>
        <v>39716.75</v>
      </c>
      <c r="E76" s="92">
        <f>20272.09</f>
        <v>20272.09</v>
      </c>
      <c r="F76" s="92">
        <f>21812.43</f>
        <v>21812.43</v>
      </c>
      <c r="G76" s="92">
        <f>27464.58</f>
        <v>27464.58</v>
      </c>
      <c r="H76" s="92">
        <f t="shared" si="10"/>
        <v>132127.12</v>
      </c>
    </row>
    <row r="77" spans="1:8" x14ac:dyDescent="0.35">
      <c r="A77" s="90" t="s">
        <v>189</v>
      </c>
      <c r="B77" s="92">
        <f>1137.75</f>
        <v>1137.75</v>
      </c>
      <c r="C77" s="92">
        <f>812.83</f>
        <v>812.83</v>
      </c>
      <c r="D77" s="92">
        <f>975.85</f>
        <v>975.85</v>
      </c>
      <c r="E77" s="92">
        <f>1442.74</f>
        <v>1442.74</v>
      </c>
      <c r="F77" s="92">
        <f>4747.02</f>
        <v>4747.0200000000004</v>
      </c>
      <c r="G77" s="92">
        <f>3391.61</f>
        <v>3391.61</v>
      </c>
      <c r="H77" s="92">
        <f t="shared" si="10"/>
        <v>12507.800000000001</v>
      </c>
    </row>
    <row r="78" spans="1:8" x14ac:dyDescent="0.35">
      <c r="A78" s="90" t="s">
        <v>190</v>
      </c>
      <c r="B78" s="92">
        <f>12687.58</f>
        <v>12687.58</v>
      </c>
      <c r="C78" s="92">
        <f>23795.92</f>
        <v>23795.919999999998</v>
      </c>
      <c r="D78" s="92">
        <f>45568.08</f>
        <v>45568.08</v>
      </c>
      <c r="E78" s="92">
        <f>21791.02</f>
        <v>21791.02</v>
      </c>
      <c r="F78" s="92">
        <f>16469.83</f>
        <v>16469.830000000002</v>
      </c>
      <c r="G78" s="92">
        <f>13848.73</f>
        <v>13848.73</v>
      </c>
      <c r="H78" s="92">
        <f t="shared" si="10"/>
        <v>134161.16</v>
      </c>
    </row>
    <row r="79" spans="1:8" x14ac:dyDescent="0.35">
      <c r="A79" s="90" t="s">
        <v>191</v>
      </c>
      <c r="B79" s="92">
        <f>294.12</f>
        <v>294.12</v>
      </c>
      <c r="C79" s="92">
        <f>270.17</f>
        <v>270.17</v>
      </c>
      <c r="D79" s="92">
        <f>375.75</f>
        <v>375.75</v>
      </c>
      <c r="E79" s="92">
        <f>545.84</f>
        <v>545.84</v>
      </c>
      <c r="F79" s="92">
        <f>871.13</f>
        <v>871.13</v>
      </c>
      <c r="G79" s="92">
        <f>585.07</f>
        <v>585.07000000000005</v>
      </c>
      <c r="H79" s="92">
        <f t="shared" si="10"/>
        <v>2942.0800000000004</v>
      </c>
    </row>
    <row r="80" spans="1:8" x14ac:dyDescent="0.35">
      <c r="A80" s="90" t="s">
        <v>192</v>
      </c>
      <c r="B80" s="93">
        <f t="shared" ref="B80:G80" si="16">(((((B74)+(B75))+(B76))+(B77))+(B78))+(B79)</f>
        <v>42510.750000000007</v>
      </c>
      <c r="C80" s="93">
        <f t="shared" si="16"/>
        <v>71030</v>
      </c>
      <c r="D80" s="93">
        <f t="shared" si="16"/>
        <v>138749.09000000003</v>
      </c>
      <c r="E80" s="93">
        <f t="shared" si="16"/>
        <v>77067.759999999995</v>
      </c>
      <c r="F80" s="93">
        <f t="shared" si="16"/>
        <v>107605.11000000002</v>
      </c>
      <c r="G80" s="93">
        <f t="shared" si="16"/>
        <v>116135.41</v>
      </c>
      <c r="H80" s="93">
        <f t="shared" si="10"/>
        <v>553098.12000000011</v>
      </c>
    </row>
    <row r="81" spans="1:8" x14ac:dyDescent="0.35">
      <c r="A81" s="90" t="s">
        <v>193</v>
      </c>
      <c r="B81" s="92">
        <f>1700.78</f>
        <v>1700.78</v>
      </c>
      <c r="C81" s="92">
        <f>1367.63</f>
        <v>1367.63</v>
      </c>
      <c r="D81" s="92">
        <f>1211</f>
        <v>1211</v>
      </c>
      <c r="E81" s="92">
        <f>1612.5</f>
        <v>1612.5</v>
      </c>
      <c r="F81" s="92">
        <f>2820.25</f>
        <v>2820.25</v>
      </c>
      <c r="G81" s="92">
        <f>2145.17</f>
        <v>2145.17</v>
      </c>
      <c r="H81" s="92">
        <f t="shared" si="10"/>
        <v>10857.33</v>
      </c>
    </row>
    <row r="82" spans="1:8" x14ac:dyDescent="0.35">
      <c r="A82" s="90" t="s">
        <v>194</v>
      </c>
      <c r="B82" s="92">
        <f>1299</f>
        <v>1299</v>
      </c>
      <c r="C82" s="92">
        <f>2421.5</f>
        <v>2421.5</v>
      </c>
      <c r="D82" s="92">
        <f>1835.52</f>
        <v>1835.52</v>
      </c>
      <c r="E82" s="92">
        <f>1054.16</f>
        <v>1054.1600000000001</v>
      </c>
      <c r="F82" s="92">
        <f>529.63</f>
        <v>529.63</v>
      </c>
      <c r="G82" s="92">
        <f>1129</f>
        <v>1129</v>
      </c>
      <c r="H82" s="92">
        <f t="shared" si="10"/>
        <v>8268.8100000000013</v>
      </c>
    </row>
    <row r="83" spans="1:8" x14ac:dyDescent="0.35">
      <c r="A83" s="90" t="s">
        <v>195</v>
      </c>
      <c r="B83" s="92">
        <f>3870.58</f>
        <v>3870.58</v>
      </c>
      <c r="C83" s="92">
        <f>3820.05</f>
        <v>3820.05</v>
      </c>
      <c r="D83" s="92">
        <f>3348.85</f>
        <v>3348.85</v>
      </c>
      <c r="E83" s="92">
        <f>4281.86</f>
        <v>4281.8599999999997</v>
      </c>
      <c r="F83" s="92">
        <f>4672.02</f>
        <v>4672.0200000000004</v>
      </c>
      <c r="G83" s="92">
        <f>4274.46</f>
        <v>4274.46</v>
      </c>
      <c r="H83" s="92">
        <f t="shared" si="10"/>
        <v>24267.82</v>
      </c>
    </row>
    <row r="84" spans="1:8" x14ac:dyDescent="0.35">
      <c r="A84" s="90" t="s">
        <v>196</v>
      </c>
      <c r="B84" s="92">
        <f>247.89</f>
        <v>247.89</v>
      </c>
      <c r="C84" s="91"/>
      <c r="D84" s="91"/>
      <c r="E84" s="91"/>
      <c r="F84" s="91"/>
      <c r="G84" s="91"/>
      <c r="H84" s="92">
        <f t="shared" si="10"/>
        <v>247.89</v>
      </c>
    </row>
    <row r="85" spans="1:8" x14ac:dyDescent="0.35">
      <c r="A85" s="90" t="s">
        <v>197</v>
      </c>
      <c r="B85" s="92">
        <f>119.98</f>
        <v>119.98</v>
      </c>
      <c r="C85" s="91"/>
      <c r="D85" s="91"/>
      <c r="E85" s="91"/>
      <c r="F85" s="91"/>
      <c r="G85" s="91"/>
      <c r="H85" s="92">
        <f t="shared" si="10"/>
        <v>119.98</v>
      </c>
    </row>
    <row r="86" spans="1:8" x14ac:dyDescent="0.35">
      <c r="A86" s="90" t="s">
        <v>198</v>
      </c>
      <c r="B86" s="93">
        <f t="shared" ref="B86:G86" si="17">((((B81)+(B82))+(B83))+(B84))+(B85)</f>
        <v>7238.23</v>
      </c>
      <c r="C86" s="93">
        <f t="shared" si="17"/>
        <v>7609.18</v>
      </c>
      <c r="D86" s="93">
        <f t="shared" si="17"/>
        <v>6395.37</v>
      </c>
      <c r="E86" s="93">
        <f t="shared" si="17"/>
        <v>6948.5199999999995</v>
      </c>
      <c r="F86" s="93">
        <f t="shared" si="17"/>
        <v>8021.9000000000005</v>
      </c>
      <c r="G86" s="93">
        <f t="shared" si="17"/>
        <v>7548.63</v>
      </c>
      <c r="H86" s="93">
        <f t="shared" si="10"/>
        <v>43761.829999999994</v>
      </c>
    </row>
    <row r="87" spans="1:8" x14ac:dyDescent="0.35">
      <c r="A87" s="90" t="s">
        <v>199</v>
      </c>
      <c r="B87" s="92">
        <f>9037.93</f>
        <v>9037.93</v>
      </c>
      <c r="C87" s="92">
        <f>8986.4</f>
        <v>8986.4</v>
      </c>
      <c r="D87" s="92">
        <f>9016.72</f>
        <v>9016.7199999999993</v>
      </c>
      <c r="E87" s="92">
        <f>10453.6</f>
        <v>10453.6</v>
      </c>
      <c r="F87" s="92">
        <f>10403.48</f>
        <v>10403.48</v>
      </c>
      <c r="G87" s="92">
        <f>11331.83</f>
        <v>11331.83</v>
      </c>
      <c r="H87" s="92">
        <f t="shared" si="10"/>
        <v>59229.960000000006</v>
      </c>
    </row>
    <row r="88" spans="1:8" x14ac:dyDescent="0.35">
      <c r="A88" s="90" t="s">
        <v>200</v>
      </c>
      <c r="B88" s="92">
        <f>131.81</f>
        <v>131.81</v>
      </c>
      <c r="C88" s="92">
        <f>200</f>
        <v>200</v>
      </c>
      <c r="D88" s="92">
        <f>25.5</f>
        <v>25.5</v>
      </c>
      <c r="E88" s="91"/>
      <c r="F88" s="92">
        <f>5</f>
        <v>5</v>
      </c>
      <c r="G88" s="92">
        <f>122.1</f>
        <v>122.1</v>
      </c>
      <c r="H88" s="92">
        <f t="shared" si="10"/>
        <v>484.40999999999997</v>
      </c>
    </row>
    <row r="89" spans="1:8" x14ac:dyDescent="0.35">
      <c r="A89" s="90" t="s">
        <v>201</v>
      </c>
      <c r="B89" s="92">
        <f>320.25</f>
        <v>320.25</v>
      </c>
      <c r="C89" s="91"/>
      <c r="D89" s="92">
        <f>86.03</f>
        <v>86.03</v>
      </c>
      <c r="E89" s="92">
        <f>800</f>
        <v>800</v>
      </c>
      <c r="F89" s="91"/>
      <c r="G89" s="92">
        <f>151.7</f>
        <v>151.69999999999999</v>
      </c>
      <c r="H89" s="92">
        <f t="shared" si="10"/>
        <v>1357.98</v>
      </c>
    </row>
    <row r="90" spans="1:8" x14ac:dyDescent="0.35">
      <c r="A90" s="90" t="s">
        <v>202</v>
      </c>
      <c r="B90" s="93">
        <f t="shared" ref="B90:G90" si="18">(B88)+(B89)</f>
        <v>452.06</v>
      </c>
      <c r="C90" s="93">
        <f t="shared" si="18"/>
        <v>200</v>
      </c>
      <c r="D90" s="93">
        <f t="shared" si="18"/>
        <v>111.53</v>
      </c>
      <c r="E90" s="93">
        <f t="shared" si="18"/>
        <v>800</v>
      </c>
      <c r="F90" s="93">
        <f t="shared" si="18"/>
        <v>5</v>
      </c>
      <c r="G90" s="93">
        <f t="shared" si="18"/>
        <v>273.79999999999995</v>
      </c>
      <c r="H90" s="93">
        <f t="shared" si="10"/>
        <v>1842.3899999999999</v>
      </c>
    </row>
    <row r="91" spans="1:8" x14ac:dyDescent="0.35">
      <c r="A91" s="90" t="s">
        <v>203</v>
      </c>
      <c r="B91" s="91"/>
      <c r="C91" s="91"/>
      <c r="D91" s="92">
        <f>950</f>
        <v>950</v>
      </c>
      <c r="E91" s="91"/>
      <c r="F91" s="91"/>
      <c r="G91" s="91"/>
      <c r="H91" s="92">
        <f t="shared" si="10"/>
        <v>950</v>
      </c>
    </row>
    <row r="92" spans="1:8" x14ac:dyDescent="0.35">
      <c r="A92" s="90" t="s">
        <v>204</v>
      </c>
      <c r="B92" s="91"/>
      <c r="C92" s="91"/>
      <c r="D92" s="92">
        <f>4.52</f>
        <v>4.5199999999999996</v>
      </c>
      <c r="E92" s="91"/>
      <c r="F92" s="91"/>
      <c r="G92" s="92">
        <f>2.21</f>
        <v>2.21</v>
      </c>
      <c r="H92" s="92">
        <f t="shared" si="10"/>
        <v>6.7299999999999995</v>
      </c>
    </row>
    <row r="93" spans="1:8" x14ac:dyDescent="0.35">
      <c r="A93" s="90" t="s">
        <v>205</v>
      </c>
      <c r="B93" s="93">
        <f t="shared" ref="B93:G93" si="19">(((((((((B43)+(B52))+(B56))+(B73))+(B80))+(B86))+(B87))+(B90))+(B91))+(B92)</f>
        <v>338579.01999999996</v>
      </c>
      <c r="C93" s="93">
        <f t="shared" si="19"/>
        <v>320190.17</v>
      </c>
      <c r="D93" s="93">
        <f t="shared" si="19"/>
        <v>512990.16000000003</v>
      </c>
      <c r="E93" s="93">
        <f t="shared" si="19"/>
        <v>430763.29</v>
      </c>
      <c r="F93" s="93">
        <f t="shared" si="19"/>
        <v>646040.44999999995</v>
      </c>
      <c r="G93" s="93">
        <f t="shared" si="19"/>
        <v>714641.39</v>
      </c>
      <c r="H93" s="93">
        <f t="shared" si="10"/>
        <v>2963204.48</v>
      </c>
    </row>
    <row r="94" spans="1:8" x14ac:dyDescent="0.35">
      <c r="A94" s="90" t="s">
        <v>206</v>
      </c>
      <c r="B94" s="93">
        <f t="shared" ref="B94:G94" ca="1" si="20">(B37)-(B93)</f>
        <v>-349525.09346111177</v>
      </c>
      <c r="C94" s="93">
        <f t="shared" ca="1" si="20"/>
        <v>-337094.50351762999</v>
      </c>
      <c r="D94" s="93">
        <f t="shared" ca="1" si="20"/>
        <v>-552416.90354879363</v>
      </c>
      <c r="E94" s="93">
        <f t="shared" ca="1" si="20"/>
        <v>-411798.82599530811</v>
      </c>
      <c r="F94" s="93">
        <f t="shared" ca="1" si="20"/>
        <v>-689101.13282405469</v>
      </c>
      <c r="G94" s="93">
        <f t="shared" ca="1" si="20"/>
        <v>-682423.89726570214</v>
      </c>
      <c r="H94" s="93">
        <f t="shared" ca="1" si="10"/>
        <v>-3022360.3566125999</v>
      </c>
    </row>
    <row r="95" spans="1:8" x14ac:dyDescent="0.35">
      <c r="A95" s="90" t="s">
        <v>207</v>
      </c>
      <c r="B95" s="91"/>
      <c r="C95" s="91"/>
      <c r="D95" s="91"/>
      <c r="E95" s="91"/>
      <c r="F95" s="91"/>
      <c r="G95" s="91"/>
      <c r="H95" s="91"/>
    </row>
    <row r="96" spans="1:8" x14ac:dyDescent="0.35">
      <c r="A96" s="90" t="s">
        <v>208</v>
      </c>
      <c r="B96" s="92">
        <f>0</f>
        <v>0</v>
      </c>
      <c r="C96" s="92">
        <f>0</f>
        <v>0</v>
      </c>
      <c r="D96" s="92">
        <f>1000</f>
        <v>1000</v>
      </c>
      <c r="E96" s="92">
        <f>0.84</f>
        <v>0.84</v>
      </c>
      <c r="F96" s="92">
        <f>0</f>
        <v>0</v>
      </c>
      <c r="G96" s="92">
        <f>0</f>
        <v>0</v>
      </c>
      <c r="H96" s="92">
        <f>(((((B96)+(C96))+(D96))+(E96))+(F96))+(G96)</f>
        <v>1000.84</v>
      </c>
    </row>
    <row r="97" spans="1:8" x14ac:dyDescent="0.35">
      <c r="A97" s="90" t="s">
        <v>209</v>
      </c>
      <c r="B97" s="91"/>
      <c r="C97" s="91"/>
      <c r="D97" s="92">
        <f>404.2</f>
        <v>404.2</v>
      </c>
      <c r="E97" s="92">
        <f>2197.94</f>
        <v>2197.94</v>
      </c>
      <c r="F97" s="92">
        <f>9953.16</f>
        <v>9953.16</v>
      </c>
      <c r="G97" s="92">
        <f>17434.03</f>
        <v>17434.03</v>
      </c>
      <c r="H97" s="92">
        <f>(((((B97)+(C97))+(D97))+(E97))+(F97))+(G97)</f>
        <v>29989.329999999998</v>
      </c>
    </row>
    <row r="98" spans="1:8" x14ac:dyDescent="0.35">
      <c r="A98" s="90" t="s">
        <v>210</v>
      </c>
      <c r="B98" s="93">
        <f t="shared" ref="B98:G98" si="21">(B96)+(B97)</f>
        <v>0</v>
      </c>
      <c r="C98" s="93">
        <f t="shared" si="21"/>
        <v>0</v>
      </c>
      <c r="D98" s="93">
        <f t="shared" si="21"/>
        <v>1404.2</v>
      </c>
      <c r="E98" s="93">
        <f t="shared" si="21"/>
        <v>2198.7800000000002</v>
      </c>
      <c r="F98" s="93">
        <f t="shared" si="21"/>
        <v>9953.16</v>
      </c>
      <c r="G98" s="93">
        <f t="shared" si="21"/>
        <v>17434.03</v>
      </c>
      <c r="H98" s="93">
        <f>(((((B98)+(C98))+(D98))+(E98))+(F98))+(G98)</f>
        <v>30990.17</v>
      </c>
    </row>
    <row r="99" spans="1:8" x14ac:dyDescent="0.35">
      <c r="A99" s="90" t="s">
        <v>211</v>
      </c>
      <c r="B99" s="93">
        <f t="shared" ref="B99:G99" si="22">(B98)-(0)</f>
        <v>0</v>
      </c>
      <c r="C99" s="93">
        <f t="shared" si="22"/>
        <v>0</v>
      </c>
      <c r="D99" s="93">
        <f t="shared" si="22"/>
        <v>1404.2</v>
      </c>
      <c r="E99" s="93">
        <f t="shared" si="22"/>
        <v>2198.7800000000002</v>
      </c>
      <c r="F99" s="93">
        <f t="shared" si="22"/>
        <v>9953.16</v>
      </c>
      <c r="G99" s="93">
        <f t="shared" si="22"/>
        <v>17434.03</v>
      </c>
      <c r="H99" s="93">
        <f>(((((B99)+(C99))+(D99))+(E99))+(F99))+(G99)</f>
        <v>30990.17</v>
      </c>
    </row>
    <row r="100" spans="1:8" x14ac:dyDescent="0.35">
      <c r="A100" s="90" t="s">
        <v>212</v>
      </c>
      <c r="B100" s="93">
        <f t="shared" ref="B100:G100" ca="1" si="23">(B94)+(B99)</f>
        <v>-349525.09346111177</v>
      </c>
      <c r="C100" s="93">
        <f t="shared" ca="1" si="23"/>
        <v>-337094.50351762999</v>
      </c>
      <c r="D100" s="93">
        <f t="shared" ca="1" si="23"/>
        <v>-551012.70354879368</v>
      </c>
      <c r="E100" s="93">
        <f t="shared" ca="1" si="23"/>
        <v>-409600.04599530809</v>
      </c>
      <c r="F100" s="93">
        <f t="shared" ca="1" si="23"/>
        <v>-679147.97282405465</v>
      </c>
      <c r="G100" s="93">
        <f t="shared" ca="1" si="23"/>
        <v>-664989.86726570211</v>
      </c>
      <c r="H100" s="93">
        <f ca="1">(((((B100)+(C100))+(D100))+(E100))+(F100))+(G100)</f>
        <v>-2991370.1866126005</v>
      </c>
    </row>
    <row r="101" spans="1:8" x14ac:dyDescent="0.35">
      <c r="A101" s="90"/>
      <c r="B101" s="91"/>
      <c r="C101" s="91"/>
      <c r="D101" s="91"/>
      <c r="E101" s="91"/>
      <c r="F101" s="91"/>
      <c r="G101" s="91"/>
      <c r="H101" s="91"/>
    </row>
    <row r="104" spans="1:8" x14ac:dyDescent="0.35">
      <c r="A104" s="112" t="s">
        <v>213</v>
      </c>
      <c r="B104" s="110"/>
      <c r="C104" s="110"/>
      <c r="D104" s="110"/>
      <c r="E104" s="110"/>
      <c r="F104" s="110"/>
      <c r="G104" s="110"/>
      <c r="H104" s="110"/>
    </row>
  </sheetData>
  <mergeCells count="4">
    <mergeCell ref="A1:H1"/>
    <mergeCell ref="A2:H2"/>
    <mergeCell ref="A3:H3"/>
    <mergeCell ref="A104:H10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4"/>
  <sheetViews>
    <sheetView workbookViewId="0">
      <selection activeCell="E11" sqref="E11"/>
    </sheetView>
  </sheetViews>
  <sheetFormatPr defaultRowHeight="14.5" x14ac:dyDescent="0.35"/>
  <cols>
    <col min="2" max="2" width="16.26953125" bestFit="1" customWidth="1"/>
    <col min="3" max="3" width="7.81640625" bestFit="1" customWidth="1"/>
    <col min="4" max="4" width="9.453125" bestFit="1" customWidth="1"/>
  </cols>
  <sheetData>
    <row r="2" spans="2:5" x14ac:dyDescent="0.35">
      <c r="B2" t="s">
        <v>96</v>
      </c>
      <c r="C2" t="s">
        <v>97</v>
      </c>
    </row>
    <row r="3" spans="2:5" x14ac:dyDescent="0.35">
      <c r="D3" t="s">
        <v>99</v>
      </c>
    </row>
    <row r="4" spans="2:5" x14ac:dyDescent="0.35">
      <c r="D4" t="s">
        <v>100</v>
      </c>
    </row>
    <row r="5" spans="2:5" x14ac:dyDescent="0.35">
      <c r="D5" t="s">
        <v>98</v>
      </c>
    </row>
    <row r="8" spans="2:5" x14ac:dyDescent="0.35">
      <c r="B8" t="s">
        <v>106</v>
      </c>
    </row>
    <row r="9" spans="2:5" x14ac:dyDescent="0.35">
      <c r="C9" t="s">
        <v>214</v>
      </c>
      <c r="D9" t="s">
        <v>220</v>
      </c>
    </row>
    <row r="10" spans="2:5" x14ac:dyDescent="0.35">
      <c r="C10" t="s">
        <v>101</v>
      </c>
      <c r="D10" t="s">
        <v>220</v>
      </c>
      <c r="E10" t="s">
        <v>224</v>
      </c>
    </row>
    <row r="12" spans="2:5" x14ac:dyDescent="0.35">
      <c r="C12" t="s">
        <v>107</v>
      </c>
      <c r="D12" t="s">
        <v>220</v>
      </c>
    </row>
    <row r="13" spans="2:5" x14ac:dyDescent="0.35">
      <c r="C13" t="s">
        <v>108</v>
      </c>
    </row>
    <row r="14" spans="2:5" x14ac:dyDescent="0.35">
      <c r="C14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C819-D626-4385-8188-33369E8CF8CD}">
  <dimension ref="B3:H104"/>
  <sheetViews>
    <sheetView workbookViewId="0">
      <selection activeCell="H7" sqref="H7"/>
    </sheetView>
  </sheetViews>
  <sheetFormatPr defaultRowHeight="14.5" x14ac:dyDescent="0.35"/>
  <cols>
    <col min="2" max="2" width="52.6328125" bestFit="1" customWidth="1"/>
    <col min="3" max="3" width="12" customWidth="1"/>
    <col min="12" max="12" width="2.6328125" customWidth="1"/>
  </cols>
  <sheetData>
    <row r="3" spans="2:7" ht="14" customHeight="1" x14ac:dyDescent="0.35">
      <c r="B3" s="1" t="s">
        <v>65</v>
      </c>
      <c r="C3" s="48">
        <v>1000000</v>
      </c>
      <c r="D3" t="s">
        <v>62</v>
      </c>
    </row>
    <row r="4" spans="2:7" ht="14" customHeight="1" x14ac:dyDescent="0.35">
      <c r="B4" s="1"/>
      <c r="G4" t="s">
        <v>297</v>
      </c>
    </row>
    <row r="5" spans="2:7" ht="14" customHeight="1" x14ac:dyDescent="0.35">
      <c r="B5" s="1" t="s">
        <v>57</v>
      </c>
      <c r="C5" s="49">
        <v>0.85</v>
      </c>
      <c r="D5" t="s">
        <v>58</v>
      </c>
      <c r="G5" t="s">
        <v>298</v>
      </c>
    </row>
    <row r="6" spans="2:7" ht="14" customHeight="1" x14ac:dyDescent="0.35">
      <c r="B6" s="1"/>
      <c r="G6" t="s">
        <v>299</v>
      </c>
    </row>
    <row r="7" spans="2:7" ht="14" customHeight="1" x14ac:dyDescent="0.35">
      <c r="B7" s="1" t="s">
        <v>59</v>
      </c>
      <c r="C7">
        <f>C3*C5</f>
        <v>850000</v>
      </c>
      <c r="G7" t="s">
        <v>300</v>
      </c>
    </row>
    <row r="8" spans="2:7" ht="14" customHeight="1" x14ac:dyDescent="0.35">
      <c r="B8" s="1"/>
      <c r="G8" t="s">
        <v>301</v>
      </c>
    </row>
    <row r="9" spans="2:7" ht="14" customHeight="1" x14ac:dyDescent="0.35">
      <c r="B9" s="1" t="s">
        <v>60</v>
      </c>
      <c r="C9" s="49">
        <v>0.02</v>
      </c>
      <c r="G9" t="s">
        <v>302</v>
      </c>
    </row>
    <row r="10" spans="2:7" ht="14" customHeight="1" x14ac:dyDescent="0.35">
      <c r="B10" s="1"/>
      <c r="G10" t="s">
        <v>303</v>
      </c>
    </row>
    <row r="11" spans="2:7" ht="14" customHeight="1" x14ac:dyDescent="0.35">
      <c r="B11" s="1" t="s">
        <v>61</v>
      </c>
      <c r="C11">
        <f>(1-C9)*C7</f>
        <v>833000</v>
      </c>
      <c r="G11" t="s">
        <v>304</v>
      </c>
    </row>
    <row r="12" spans="2:7" ht="14" customHeight="1" x14ac:dyDescent="0.35">
      <c r="B12" s="1" t="s">
        <v>63</v>
      </c>
      <c r="C12">
        <f>C9*C7</f>
        <v>17000</v>
      </c>
    </row>
    <row r="13" spans="2:7" ht="14" customHeight="1" x14ac:dyDescent="0.35">
      <c r="B13" s="1"/>
    </row>
    <row r="14" spans="2:7" ht="14" customHeight="1" x14ac:dyDescent="0.35">
      <c r="B14" s="1" t="s">
        <v>64</v>
      </c>
      <c r="C14" s="48">
        <v>19</v>
      </c>
    </row>
    <row r="15" spans="2:7" ht="14" customHeight="1" x14ac:dyDescent="0.35">
      <c r="B15" s="1"/>
    </row>
    <row r="16" spans="2:7" ht="14" customHeight="1" x14ac:dyDescent="0.35">
      <c r="B16" s="1" t="s">
        <v>0</v>
      </c>
      <c r="C16">
        <f>C14*C12</f>
        <v>323000</v>
      </c>
    </row>
    <row r="17" spans="2:3" ht="14" customHeight="1" x14ac:dyDescent="0.35">
      <c r="B17" s="1"/>
    </row>
    <row r="18" spans="2:3" ht="14" customHeight="1" x14ac:dyDescent="0.35">
      <c r="B18" s="1"/>
    </row>
    <row r="19" spans="2:3" ht="14" customHeight="1" x14ac:dyDescent="0.35">
      <c r="B19" s="66" t="s">
        <v>87</v>
      </c>
      <c r="C19" t="s">
        <v>88</v>
      </c>
    </row>
    <row r="20" spans="2:3" ht="14" customHeight="1" x14ac:dyDescent="0.35">
      <c r="B20" s="1"/>
    </row>
    <row r="21" spans="2:3" ht="14" customHeight="1" x14ac:dyDescent="0.35">
      <c r="B21" s="1"/>
    </row>
    <row r="22" spans="2:3" ht="14" customHeight="1" x14ac:dyDescent="0.35">
      <c r="B22" s="1"/>
    </row>
    <row r="23" spans="2:3" ht="14" customHeight="1" x14ac:dyDescent="0.35">
      <c r="B23" s="1"/>
    </row>
    <row r="24" spans="2:3" ht="14" customHeight="1" x14ac:dyDescent="0.35">
      <c r="B24" s="1"/>
    </row>
    <row r="25" spans="2:3" ht="14" customHeight="1" x14ac:dyDescent="0.35">
      <c r="B25" s="1"/>
    </row>
    <row r="26" spans="2:3" ht="14" customHeight="1" x14ac:dyDescent="0.35">
      <c r="B26" s="1"/>
    </row>
    <row r="27" spans="2:3" ht="14" customHeight="1" x14ac:dyDescent="0.35">
      <c r="B27" s="1"/>
    </row>
    <row r="28" spans="2:3" ht="14" customHeight="1" x14ac:dyDescent="0.35">
      <c r="B28" s="1"/>
    </row>
    <row r="29" spans="2:3" ht="14" customHeight="1" x14ac:dyDescent="0.35">
      <c r="B29" s="1"/>
    </row>
    <row r="30" spans="2:3" ht="14" customHeight="1" x14ac:dyDescent="0.35">
      <c r="B30" s="1"/>
    </row>
    <row r="31" spans="2:3" ht="14" customHeight="1" x14ac:dyDescent="0.35">
      <c r="B31" s="1"/>
    </row>
    <row r="32" spans="2:3" ht="14" customHeight="1" x14ac:dyDescent="0.35">
      <c r="B32" s="1"/>
    </row>
    <row r="33" spans="2:2" ht="14" customHeight="1" x14ac:dyDescent="0.35">
      <c r="B33" s="1"/>
    </row>
    <row r="34" spans="2:2" ht="14" customHeight="1" x14ac:dyDescent="0.35">
      <c r="B34" s="1"/>
    </row>
    <row r="35" spans="2:2" ht="14" customHeight="1" x14ac:dyDescent="0.35">
      <c r="B35" s="1"/>
    </row>
    <row r="36" spans="2:2" ht="14" customHeight="1" x14ac:dyDescent="0.35">
      <c r="B36" s="1"/>
    </row>
    <row r="37" spans="2:2" ht="14" customHeight="1" x14ac:dyDescent="0.35">
      <c r="B37" s="1"/>
    </row>
    <row r="38" spans="2:2" ht="14" customHeight="1" x14ac:dyDescent="0.35">
      <c r="B38" s="1"/>
    </row>
    <row r="39" spans="2:2" ht="14" customHeight="1" x14ac:dyDescent="0.35">
      <c r="B39" s="1"/>
    </row>
    <row r="40" spans="2:2" ht="14" customHeight="1" x14ac:dyDescent="0.35">
      <c r="B40" s="1"/>
    </row>
    <row r="41" spans="2:2" ht="14" customHeight="1" x14ac:dyDescent="0.35">
      <c r="B41" s="1"/>
    </row>
    <row r="42" spans="2:2" ht="14" customHeight="1" x14ac:dyDescent="0.35">
      <c r="B42" s="1"/>
    </row>
    <row r="43" spans="2:2" ht="14" customHeight="1" x14ac:dyDescent="0.35">
      <c r="B43" s="1"/>
    </row>
    <row r="44" spans="2:2" ht="14" customHeight="1" x14ac:dyDescent="0.35">
      <c r="B44" s="1"/>
    </row>
    <row r="45" spans="2:2" ht="14" customHeight="1" x14ac:dyDescent="0.35">
      <c r="B45" s="1"/>
    </row>
    <row r="46" spans="2:2" ht="14" customHeight="1" x14ac:dyDescent="0.35">
      <c r="B46" s="1"/>
    </row>
    <row r="47" spans="2:2" ht="14" customHeight="1" x14ac:dyDescent="0.35">
      <c r="B47" s="1"/>
    </row>
    <row r="48" spans="2:2" ht="14" customHeight="1" x14ac:dyDescent="0.35">
      <c r="B48" s="1"/>
    </row>
    <row r="49" spans="2:2" ht="14" customHeight="1" x14ac:dyDescent="0.35">
      <c r="B49" s="1"/>
    </row>
    <row r="50" spans="2:2" ht="14" customHeight="1" x14ac:dyDescent="0.35">
      <c r="B50" s="1"/>
    </row>
    <row r="51" spans="2:2" ht="14" customHeight="1" x14ac:dyDescent="0.35">
      <c r="B51" s="1"/>
    </row>
    <row r="52" spans="2:2" ht="14" customHeight="1" x14ac:dyDescent="0.35">
      <c r="B52" s="1"/>
    </row>
    <row r="53" spans="2:2" ht="14" customHeight="1" x14ac:dyDescent="0.35">
      <c r="B53" s="1"/>
    </row>
    <row r="54" spans="2:2" ht="14" customHeight="1" x14ac:dyDescent="0.35">
      <c r="B54" s="1"/>
    </row>
    <row r="55" spans="2:2" ht="14" customHeight="1" x14ac:dyDescent="0.35">
      <c r="B55" s="1"/>
    </row>
    <row r="56" spans="2:2" ht="14" customHeight="1" x14ac:dyDescent="0.35">
      <c r="B56" s="1"/>
    </row>
    <row r="57" spans="2:2" ht="14" customHeight="1" x14ac:dyDescent="0.35">
      <c r="B57" s="1"/>
    </row>
    <row r="58" spans="2:2" ht="14" customHeight="1" x14ac:dyDescent="0.35">
      <c r="B58" s="1"/>
    </row>
    <row r="59" spans="2:2" ht="14" customHeight="1" x14ac:dyDescent="0.35">
      <c r="B59" s="1"/>
    </row>
    <row r="60" spans="2:2" ht="14" customHeight="1" x14ac:dyDescent="0.35">
      <c r="B60" s="1"/>
    </row>
    <row r="61" spans="2:2" ht="14" customHeight="1" x14ac:dyDescent="0.35">
      <c r="B61" s="1"/>
    </row>
    <row r="62" spans="2:2" ht="14" customHeight="1" x14ac:dyDescent="0.35">
      <c r="B62" s="1"/>
    </row>
    <row r="63" spans="2:2" ht="14" customHeight="1" x14ac:dyDescent="0.35">
      <c r="B63" s="1"/>
    </row>
    <row r="64" spans="2:2" ht="14" customHeight="1" x14ac:dyDescent="0.35">
      <c r="B64" s="1"/>
    </row>
    <row r="65" spans="2:2" ht="14" customHeight="1" x14ac:dyDescent="0.35">
      <c r="B65" s="1"/>
    </row>
    <row r="66" spans="2:2" ht="14" customHeight="1" x14ac:dyDescent="0.35">
      <c r="B66" s="1"/>
    </row>
    <row r="67" spans="2:2" ht="14" customHeight="1" x14ac:dyDescent="0.35">
      <c r="B67" s="1"/>
    </row>
    <row r="68" spans="2:2" ht="14" customHeight="1" x14ac:dyDescent="0.35">
      <c r="B68" s="1"/>
    </row>
    <row r="69" spans="2:2" ht="14" customHeight="1" x14ac:dyDescent="0.35">
      <c r="B69" s="1"/>
    </row>
    <row r="70" spans="2:2" ht="14" customHeight="1" x14ac:dyDescent="0.35">
      <c r="B70" s="1"/>
    </row>
    <row r="71" spans="2:2" ht="14" customHeight="1" x14ac:dyDescent="0.35">
      <c r="B71" s="1"/>
    </row>
    <row r="72" spans="2:2" ht="14" customHeight="1" x14ac:dyDescent="0.35">
      <c r="B72" s="1"/>
    </row>
    <row r="73" spans="2:2" ht="14" customHeight="1" x14ac:dyDescent="0.35">
      <c r="B73" s="1"/>
    </row>
    <row r="74" spans="2:2" ht="14" customHeight="1" x14ac:dyDescent="0.35">
      <c r="B74" s="1"/>
    </row>
    <row r="75" spans="2:2" ht="14" customHeight="1" x14ac:dyDescent="0.35">
      <c r="B75" s="1"/>
    </row>
    <row r="76" spans="2:2" ht="14" customHeight="1" x14ac:dyDescent="0.35">
      <c r="B76" s="1"/>
    </row>
    <row r="77" spans="2:2" ht="14" customHeight="1" x14ac:dyDescent="0.35">
      <c r="B77" s="1"/>
    </row>
    <row r="78" spans="2:2" ht="14" customHeight="1" x14ac:dyDescent="0.35">
      <c r="B78" s="1"/>
    </row>
    <row r="79" spans="2:2" ht="14" customHeight="1" x14ac:dyDescent="0.35">
      <c r="B79" s="1"/>
    </row>
    <row r="80" spans="2:2" ht="14" customHeight="1" x14ac:dyDescent="0.35">
      <c r="B80" s="1"/>
    </row>
    <row r="81" spans="2:2" ht="14" customHeight="1" x14ac:dyDescent="0.35">
      <c r="B81" s="1"/>
    </row>
    <row r="82" spans="2:2" ht="14" customHeight="1" x14ac:dyDescent="0.35">
      <c r="B82" s="1"/>
    </row>
    <row r="83" spans="2:2" ht="14" customHeight="1" x14ac:dyDescent="0.35">
      <c r="B83" s="1"/>
    </row>
    <row r="84" spans="2:2" ht="14" customHeight="1" x14ac:dyDescent="0.35">
      <c r="B84" s="1"/>
    </row>
    <row r="85" spans="2:2" ht="14" customHeight="1" x14ac:dyDescent="0.35">
      <c r="B85" s="1"/>
    </row>
    <row r="86" spans="2:2" ht="14" customHeight="1" x14ac:dyDescent="0.35">
      <c r="B86" s="1"/>
    </row>
    <row r="87" spans="2:2" ht="14" customHeight="1" x14ac:dyDescent="0.35">
      <c r="B87" s="1"/>
    </row>
    <row r="88" spans="2:2" ht="14" customHeight="1" x14ac:dyDescent="0.35">
      <c r="B88" s="1"/>
    </row>
    <row r="89" spans="2:2" ht="14" customHeight="1" x14ac:dyDescent="0.35">
      <c r="B89" s="1"/>
    </row>
    <row r="90" spans="2:2" ht="14" customHeight="1" x14ac:dyDescent="0.35">
      <c r="B90" s="1"/>
    </row>
    <row r="91" spans="2:2" ht="14" customHeight="1" x14ac:dyDescent="0.35">
      <c r="B91" s="1"/>
    </row>
    <row r="92" spans="2:2" ht="14" customHeight="1" x14ac:dyDescent="0.35">
      <c r="B92" s="1"/>
    </row>
    <row r="93" spans="2:2" ht="14" customHeight="1" x14ac:dyDescent="0.35">
      <c r="B93" s="1"/>
    </row>
    <row r="94" spans="2:2" ht="14" customHeight="1" x14ac:dyDescent="0.35">
      <c r="B94" s="1"/>
    </row>
    <row r="95" spans="2:2" ht="14" customHeight="1" x14ac:dyDescent="0.35">
      <c r="B95" s="1"/>
    </row>
    <row r="96" spans="2:2" ht="14" customHeight="1" x14ac:dyDescent="0.35">
      <c r="B96" s="1"/>
    </row>
    <row r="99" spans="2:8" x14ac:dyDescent="0.35">
      <c r="B99" s="2"/>
    </row>
    <row r="100" spans="2:8" x14ac:dyDescent="0.35">
      <c r="B100" s="3"/>
      <c r="C100" s="4"/>
      <c r="D100" s="5"/>
      <c r="E100" s="5"/>
      <c r="F100" s="5"/>
      <c r="G100" s="4"/>
      <c r="H100" s="4"/>
    </row>
    <row r="101" spans="2:8" x14ac:dyDescent="0.35">
      <c r="B101" s="3"/>
      <c r="C101" s="4"/>
      <c r="D101" s="5"/>
      <c r="E101" s="5"/>
      <c r="F101" s="5"/>
      <c r="G101" s="4"/>
      <c r="H101" s="4"/>
    </row>
    <row r="102" spans="2:8" x14ac:dyDescent="0.35">
      <c r="B102" s="3"/>
      <c r="C102" s="4"/>
      <c r="D102" s="5"/>
      <c r="E102" s="5"/>
      <c r="F102" s="5"/>
      <c r="G102" s="4"/>
      <c r="H102" s="4"/>
    </row>
    <row r="103" spans="2:8" x14ac:dyDescent="0.35">
      <c r="B103" s="3"/>
      <c r="C103" s="4"/>
      <c r="D103" s="5"/>
      <c r="E103" s="5"/>
      <c r="F103" s="5"/>
      <c r="G103" s="4"/>
      <c r="H103" s="4"/>
    </row>
    <row r="104" spans="2:8" x14ac:dyDescent="0.35">
      <c r="B104" s="3"/>
      <c r="C104" s="4"/>
      <c r="D104" s="5"/>
      <c r="E104" s="5"/>
      <c r="F104" s="5"/>
      <c r="G104" s="4"/>
      <c r="H104" s="4"/>
    </row>
  </sheetData>
  <conditionalFormatting sqref="B103">
    <cfRule type="expression" dxfId="1" priority="1">
      <formula>#REF!=$C103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2725-DD20-46AF-BC63-9C787979B10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518E-7032-4895-871F-3731F105B950}">
  <dimension ref="A1:BD27"/>
  <sheetViews>
    <sheetView showGridLines="0" zoomScale="47" zoomScaleNormal="47" zoomScalePageLayoutView="235" workbookViewId="0">
      <selection activeCell="E38" sqref="E38"/>
    </sheetView>
  </sheetViews>
  <sheetFormatPr defaultColWidth="0" defaultRowHeight="14.5" x14ac:dyDescent="0.35"/>
  <cols>
    <col min="1" max="1" width="26.54296875" bestFit="1" customWidth="1"/>
    <col min="2" max="2" width="15.54296875" bestFit="1" customWidth="1"/>
    <col min="3" max="3" width="16.54296875" bestFit="1" customWidth="1"/>
    <col min="4" max="4" width="17.453125" bestFit="1" customWidth="1"/>
    <col min="5" max="5" width="15.1796875" bestFit="1" customWidth="1"/>
    <col min="6" max="6" width="29.7265625" bestFit="1" customWidth="1"/>
    <col min="7" max="7" width="10.81640625" customWidth="1"/>
    <col min="8" max="8" width="7.6328125" bestFit="1" customWidth="1"/>
    <col min="9" max="13" width="14.81640625" bestFit="1" customWidth="1"/>
    <col min="14" max="17" width="15.7265625" bestFit="1" customWidth="1"/>
    <col min="18" max="31" width="11.90625" bestFit="1" customWidth="1"/>
    <col min="32" max="56" width="0" hidden="1" customWidth="1"/>
    <col min="57" max="16384" width="10.81640625" hidden="1"/>
  </cols>
  <sheetData>
    <row r="1" spans="1:22" ht="15.75" customHeight="1" x14ac:dyDescent="0.35">
      <c r="A1" s="69"/>
      <c r="B1" s="70"/>
      <c r="C1" s="70"/>
      <c r="D1" s="70"/>
      <c r="E1" s="69"/>
      <c r="F1" s="70" t="s">
        <v>85</v>
      </c>
      <c r="G1" s="70"/>
      <c r="H1" s="68">
        <v>1</v>
      </c>
      <c r="I1" s="68">
        <f>H1+1</f>
        <v>2</v>
      </c>
      <c r="J1" s="68">
        <f t="shared" ref="J1:V1" si="0">I1+1</f>
        <v>3</v>
      </c>
      <c r="K1" s="68">
        <f t="shared" si="0"/>
        <v>4</v>
      </c>
      <c r="L1" s="68">
        <f t="shared" si="0"/>
        <v>5</v>
      </c>
      <c r="M1" s="68">
        <f t="shared" si="0"/>
        <v>6</v>
      </c>
      <c r="N1" s="68">
        <f t="shared" si="0"/>
        <v>7</v>
      </c>
      <c r="O1" s="68">
        <f t="shared" si="0"/>
        <v>8</v>
      </c>
      <c r="P1" s="68">
        <f t="shared" si="0"/>
        <v>9</v>
      </c>
      <c r="Q1" s="68">
        <f t="shared" si="0"/>
        <v>10</v>
      </c>
      <c r="R1" s="68">
        <f t="shared" si="0"/>
        <v>11</v>
      </c>
      <c r="S1" s="68">
        <f t="shared" si="0"/>
        <v>12</v>
      </c>
      <c r="T1" s="68">
        <f t="shared" si="0"/>
        <v>13</v>
      </c>
      <c r="U1" s="68">
        <f t="shared" si="0"/>
        <v>14</v>
      </c>
      <c r="V1" s="68">
        <f t="shared" si="0"/>
        <v>15</v>
      </c>
    </row>
    <row r="2" spans="1:22" x14ac:dyDescent="0.35">
      <c r="A2" s="71"/>
    </row>
    <row r="3" spans="1:22" x14ac:dyDescent="0.35">
      <c r="A3" s="72" t="s">
        <v>94</v>
      </c>
      <c r="B3" s="73" t="s">
        <v>90</v>
      </c>
      <c r="C3" s="73" t="s">
        <v>221</v>
      </c>
      <c r="D3" s="74" t="s">
        <v>91</v>
      </c>
      <c r="E3" s="74" t="s">
        <v>217</v>
      </c>
      <c r="F3" s="74" t="s">
        <v>92</v>
      </c>
    </row>
    <row r="4" spans="1:22" x14ac:dyDescent="0.35">
      <c r="A4" s="75" t="s">
        <v>93</v>
      </c>
      <c r="B4" s="76">
        <v>1</v>
      </c>
      <c r="C4" s="76">
        <v>1</v>
      </c>
      <c r="D4" s="76">
        <v>1</v>
      </c>
      <c r="E4" s="76">
        <v>3</v>
      </c>
      <c r="F4" s="76">
        <v>6</v>
      </c>
      <c r="H4" s="77">
        <f>MIN($F$4,IF(H$1&lt;$C$4,0,IF(H$1=$C4,$B4,IF(IF($D4&gt;0,MOD(H$1-$C$4,$E4)=0,0),G4+$D4,G4))))</f>
        <v>1</v>
      </c>
      <c r="I4" s="78">
        <f>MIN($F$4,IF(I$1&lt;$C$4,0,IF(I$1=$C4,$B4,IF(IF($D4&gt;0,MOD(I$1-$C$4,$E4)=0,0),H4+$D4,H4))))</f>
        <v>1</v>
      </c>
      <c r="J4" s="78">
        <f t="shared" ref="J4:V4" si="1">MIN($F$4,IF(J$1&lt;$C$4,0,IF(J$1=$C4,$B4,IF(IF($D4&gt;0,MOD(J$1-$C$4,$E4)=0,0),I4+$D4,I4))))</f>
        <v>1</v>
      </c>
      <c r="K4" s="78">
        <f t="shared" si="1"/>
        <v>2</v>
      </c>
      <c r="L4" s="78">
        <f t="shared" si="1"/>
        <v>2</v>
      </c>
      <c r="M4" s="78">
        <f t="shared" si="1"/>
        <v>2</v>
      </c>
      <c r="N4" s="78">
        <f t="shared" si="1"/>
        <v>3</v>
      </c>
      <c r="O4" s="78">
        <f t="shared" si="1"/>
        <v>3</v>
      </c>
      <c r="P4" s="78">
        <f t="shared" si="1"/>
        <v>3</v>
      </c>
      <c r="Q4" s="78">
        <f t="shared" si="1"/>
        <v>4</v>
      </c>
      <c r="R4" s="78">
        <f t="shared" si="1"/>
        <v>4</v>
      </c>
      <c r="S4" s="78">
        <f t="shared" si="1"/>
        <v>4</v>
      </c>
      <c r="T4" s="78">
        <f t="shared" si="1"/>
        <v>5</v>
      </c>
      <c r="U4" s="78">
        <f t="shared" si="1"/>
        <v>5</v>
      </c>
      <c r="V4" s="78">
        <f t="shared" si="1"/>
        <v>5</v>
      </c>
    </row>
    <row r="7" spans="1:22" ht="15.75" customHeight="1" x14ac:dyDescent="0.35">
      <c r="A7" s="72" t="s">
        <v>218</v>
      </c>
      <c r="B7" s="73" t="s">
        <v>90</v>
      </c>
      <c r="C7" s="73" t="s">
        <v>221</v>
      </c>
      <c r="D7" s="74" t="s">
        <v>91</v>
      </c>
      <c r="E7" s="74" t="s">
        <v>217</v>
      </c>
      <c r="F7" s="74" t="s">
        <v>219</v>
      </c>
      <c r="G7" s="79"/>
    </row>
    <row r="8" spans="1:22" ht="15.75" customHeight="1" x14ac:dyDescent="0.35">
      <c r="A8" s="75" t="s">
        <v>93</v>
      </c>
      <c r="B8" s="80">
        <v>60000</v>
      </c>
      <c r="C8" s="76">
        <f>C4</f>
        <v>1</v>
      </c>
      <c r="D8" s="80">
        <v>10000</v>
      </c>
      <c r="E8" s="76">
        <v>2</v>
      </c>
      <c r="F8" s="80">
        <v>92000</v>
      </c>
      <c r="G8" s="81"/>
      <c r="H8" s="82">
        <f>IF(H$1=$C8,$B8,IF(IF($D8&gt;0,MOD(H$1,$E8)=0,0),MIN($F8,G8+$D8),G8))</f>
        <v>60000</v>
      </c>
      <c r="I8" s="82">
        <f t="shared" ref="I8" si="2">IF(I$1=$C8,$B8,IF(IF($D8&gt;0,MOD(I$1,$E8)=0,0),MIN($F8,H8+$D8),H8))</f>
        <v>70000</v>
      </c>
      <c r="J8" s="82">
        <f t="shared" ref="J8" si="3">IF(J$1=$C8,$B8,IF(IF($D8&gt;0,MOD(J$1,$E8)=0,0),MIN($F8,I8+$D8),I8))</f>
        <v>70000</v>
      </c>
      <c r="K8" s="82">
        <f t="shared" ref="K8" si="4">IF(K$1=$C8,$B8,IF(IF($D8&gt;0,MOD(K$1,$E8)=0,0),MIN($F8,J8+$D8),J8))</f>
        <v>80000</v>
      </c>
      <c r="L8" s="82">
        <f t="shared" ref="L8" si="5">IF(L$1=$C8,$B8,IF(IF($D8&gt;0,MOD(L$1,$E8)=0,0),MIN($F8,K8+$D8),K8))</f>
        <v>80000</v>
      </c>
      <c r="M8" s="82">
        <f t="shared" ref="M8" si="6">IF(M$1=$C8,$B8,IF(IF($D8&gt;0,MOD(M$1,$E8)=0,0),MIN($F8,L8+$D8),L8))</f>
        <v>90000</v>
      </c>
      <c r="N8" s="82">
        <f t="shared" ref="N8" si="7">IF(N$1=$C8,$B8,IF(IF($D8&gt;0,MOD(N$1,$E8)=0,0),MIN($F8,M8+$D8),M8))</f>
        <v>90000</v>
      </c>
      <c r="O8" s="82">
        <f t="shared" ref="O8" si="8">IF(O$1=$C8,$B8,IF(IF($D8&gt;0,MOD(O$1,$E8)=0,0),MIN($F8,N8+$D8),N8))</f>
        <v>92000</v>
      </c>
      <c r="P8" s="82">
        <f t="shared" ref="P8" si="9">IF(P$1=$C8,$B8,IF(IF($D8&gt;0,MOD(P$1,$E8)=0,0),MIN($F8,O8+$D8),O8))</f>
        <v>92000</v>
      </c>
      <c r="Q8" s="82">
        <f t="shared" ref="Q8" si="10">IF(Q$1=$C8,$B8,IF(IF($D8&gt;0,MOD(Q$1,$E8)=0,0),MIN($F8,P8+$D8),P8))</f>
        <v>92000</v>
      </c>
      <c r="R8" s="82">
        <f t="shared" ref="R8" si="11">IF(R$1=$C8,$B8,IF(IF($D8&gt;0,MOD(R$1,$E8)=0,0),MIN($F8,Q8+$D8),Q8))</f>
        <v>92000</v>
      </c>
      <c r="S8" s="82">
        <f t="shared" ref="S8" si="12">IF(S$1=$C8,$B8,IF(IF($D8&gt;0,MOD(S$1,$E8)=0,0),MIN($F8,R8+$D8),R8))</f>
        <v>92000</v>
      </c>
      <c r="T8" s="82">
        <f t="shared" ref="T8" si="13">IF(T$1=$C8,$B8,IF(IF($D8&gt;0,MOD(T$1,$E8)=0,0),MIN($F8,S8+$D8),S8))</f>
        <v>92000</v>
      </c>
      <c r="U8" s="82">
        <f t="shared" ref="U8" si="14">IF(U$1=$C8,$B8,IF(IF($D8&gt;0,MOD(U$1,$E8)=0,0),MIN($F8,T8+$D8),T8))</f>
        <v>92000</v>
      </c>
      <c r="V8" s="82">
        <f t="shared" ref="V8" si="15">IF(V$1=$C8,$B8,IF(IF($D8&gt;0,MOD(V$1,$E8)=0,0),MIN($F8,U8+$D8),U8))</f>
        <v>92000</v>
      </c>
    </row>
    <row r="11" spans="1:22" x14ac:dyDescent="0.35">
      <c r="F11" s="72" t="s">
        <v>95</v>
      </c>
    </row>
    <row r="12" spans="1:22" x14ac:dyDescent="0.35">
      <c r="F12" s="75" t="s">
        <v>93</v>
      </c>
      <c r="H12" s="83">
        <f>H4*H8</f>
        <v>60000</v>
      </c>
      <c r="I12" s="83">
        <f>I4*I8</f>
        <v>70000</v>
      </c>
      <c r="J12" s="83">
        <f t="shared" ref="J12:V12" si="16">J4*J8</f>
        <v>70000</v>
      </c>
      <c r="K12" s="83">
        <f t="shared" si="16"/>
        <v>160000</v>
      </c>
      <c r="L12" s="83">
        <f t="shared" si="16"/>
        <v>160000</v>
      </c>
      <c r="M12" s="83">
        <f t="shared" si="16"/>
        <v>180000</v>
      </c>
      <c r="N12" s="83">
        <f t="shared" si="16"/>
        <v>270000</v>
      </c>
      <c r="O12" s="83">
        <f t="shared" si="16"/>
        <v>276000</v>
      </c>
      <c r="P12" s="83">
        <f t="shared" si="16"/>
        <v>276000</v>
      </c>
      <c r="Q12" s="83">
        <f t="shared" si="16"/>
        <v>368000</v>
      </c>
      <c r="R12" s="83">
        <f t="shared" si="16"/>
        <v>368000</v>
      </c>
      <c r="S12" s="83">
        <f t="shared" si="16"/>
        <v>368000</v>
      </c>
      <c r="T12" s="83">
        <f t="shared" si="16"/>
        <v>460000</v>
      </c>
      <c r="U12" s="83">
        <f t="shared" si="16"/>
        <v>460000</v>
      </c>
      <c r="V12" s="83">
        <f t="shared" si="16"/>
        <v>460000</v>
      </c>
    </row>
    <row r="19" spans="1:22" x14ac:dyDescent="0.35">
      <c r="A19" s="72"/>
      <c r="B19" s="73"/>
      <c r="C19" s="73"/>
      <c r="D19" s="74"/>
      <c r="E19" s="74"/>
      <c r="F19" s="74"/>
    </row>
    <row r="20" spans="1:22" x14ac:dyDescent="0.35">
      <c r="A20" s="75"/>
      <c r="B20" s="76"/>
      <c r="C20" s="76"/>
      <c r="D20" s="76"/>
      <c r="E20" s="76"/>
      <c r="F20" s="76"/>
      <c r="H20" s="77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</row>
    <row r="22" spans="1:22" x14ac:dyDescent="0.35">
      <c r="A22" s="72"/>
      <c r="B22" s="73"/>
      <c r="C22" s="73"/>
      <c r="D22" s="74"/>
      <c r="E22" s="74"/>
      <c r="F22" s="74"/>
      <c r="G22" s="79"/>
    </row>
    <row r="23" spans="1:22" x14ac:dyDescent="0.35">
      <c r="A23" s="75"/>
      <c r="B23" s="80"/>
      <c r="C23" s="76"/>
      <c r="D23" s="80"/>
      <c r="E23" s="76"/>
      <c r="F23" s="80"/>
      <c r="G23" s="81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</row>
    <row r="26" spans="1:22" x14ac:dyDescent="0.35">
      <c r="F26" s="72"/>
    </row>
    <row r="27" spans="1:22" x14ac:dyDescent="0.35">
      <c r="F27" s="75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</row>
  </sheetData>
  <pageMargins left="0.75" right="0.75" top="1" bottom="1" header="0.5" footer="0.5"/>
  <pageSetup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7521-761A-4FD3-A8E3-4135D7816B5E}">
  <dimension ref="C14:U97"/>
  <sheetViews>
    <sheetView zoomScale="65" zoomScaleNormal="65" workbookViewId="0"/>
  </sheetViews>
  <sheetFormatPr defaultRowHeight="14.5" outlineLevelRow="1" x14ac:dyDescent="0.35"/>
  <cols>
    <col min="1" max="2" width="1.7265625" customWidth="1"/>
    <col min="3" max="3" width="28.54296875" bestFit="1" customWidth="1"/>
    <col min="4" max="4" width="26.6328125" bestFit="1" customWidth="1"/>
    <col min="5" max="13" width="12.08984375" bestFit="1" customWidth="1"/>
    <col min="14" max="14" width="10.81640625" customWidth="1"/>
    <col min="15" max="15" width="13.26953125" bestFit="1" customWidth="1"/>
    <col min="16" max="16" width="32.54296875" bestFit="1" customWidth="1"/>
    <col min="17" max="17" width="29.54296875" bestFit="1" customWidth="1"/>
    <col min="18" max="18" width="12.453125" bestFit="1" customWidth="1"/>
    <col min="19" max="19" width="10" bestFit="1" customWidth="1"/>
  </cols>
  <sheetData>
    <row r="14" spans="10:14" x14ac:dyDescent="0.35">
      <c r="J14" s="46"/>
      <c r="K14" s="46"/>
      <c r="L14" s="46"/>
      <c r="M14" s="46"/>
      <c r="N14" s="46"/>
    </row>
    <row r="27" spans="17:17" ht="15" hidden="1" customHeight="1" outlineLevel="1" x14ac:dyDescent="0.35">
      <c r="Q27" t="s">
        <v>74</v>
      </c>
    </row>
    <row r="28" spans="17:17" ht="15" hidden="1" customHeight="1" outlineLevel="1" x14ac:dyDescent="0.35"/>
    <row r="29" spans="17:17" ht="15" hidden="1" customHeight="1" outlineLevel="1" x14ac:dyDescent="0.35"/>
    <row r="30" spans="17:17" ht="15" hidden="1" customHeight="1" outlineLevel="1" x14ac:dyDescent="0.35"/>
    <row r="31" spans="17:17" ht="15" hidden="1" customHeight="1" outlineLevel="1" x14ac:dyDescent="0.35"/>
    <row r="32" spans="17:17" ht="15" hidden="1" customHeight="1" outlineLevel="1" x14ac:dyDescent="0.35"/>
    <row r="33" spans="17:17" ht="15" hidden="1" customHeight="1" outlineLevel="1" x14ac:dyDescent="0.35"/>
    <row r="34" spans="17:17" ht="15" hidden="1" customHeight="1" outlineLevel="1" x14ac:dyDescent="0.35"/>
    <row r="35" spans="17:17" ht="15" hidden="1" customHeight="1" outlineLevel="1" x14ac:dyDescent="0.35"/>
    <row r="36" spans="17:17" ht="15" hidden="1" customHeight="1" outlineLevel="1" x14ac:dyDescent="0.35"/>
    <row r="37" spans="17:17" ht="15" hidden="1" customHeight="1" outlineLevel="1" x14ac:dyDescent="0.35">
      <c r="Q37" t="s">
        <v>77</v>
      </c>
    </row>
    <row r="38" spans="17:17" ht="15" hidden="1" customHeight="1" outlineLevel="1" x14ac:dyDescent="0.35"/>
    <row r="39" spans="17:17" ht="15" hidden="1" customHeight="1" outlineLevel="1" x14ac:dyDescent="0.35"/>
    <row r="40" spans="17:17" ht="15" hidden="1" customHeight="1" outlineLevel="1" x14ac:dyDescent="0.35"/>
    <row r="41" spans="17:17" ht="15" hidden="1" customHeight="1" outlineLevel="1" x14ac:dyDescent="0.35"/>
    <row r="42" spans="17:17" ht="15" hidden="1" customHeight="1" outlineLevel="1" x14ac:dyDescent="0.35"/>
    <row r="43" spans="17:17" ht="15" customHeight="1" collapsed="1" x14ac:dyDescent="0.35"/>
    <row r="44" spans="17:17" ht="15" customHeight="1" x14ac:dyDescent="0.35"/>
    <row r="45" spans="17:17" ht="15" customHeight="1" x14ac:dyDescent="0.35"/>
    <row r="46" spans="17:17" ht="15" customHeight="1" x14ac:dyDescent="0.35"/>
    <row r="47" spans="17:17" ht="15" customHeight="1" x14ac:dyDescent="0.35"/>
    <row r="48" spans="17:17" ht="15" customHeight="1" x14ac:dyDescent="0.35"/>
    <row r="49" spans="18:21" ht="15" customHeight="1" x14ac:dyDescent="0.35"/>
    <row r="50" spans="18:21" ht="15" customHeight="1" x14ac:dyDescent="0.35"/>
    <row r="51" spans="18:21" ht="15" customHeight="1" x14ac:dyDescent="0.35"/>
    <row r="52" spans="18:21" x14ac:dyDescent="0.35">
      <c r="T52" s="15"/>
    </row>
    <row r="53" spans="18:21" x14ac:dyDescent="0.35">
      <c r="T53" s="15"/>
      <c r="U53" s="15"/>
    </row>
    <row r="54" spans="18:21" x14ac:dyDescent="0.35">
      <c r="T54" s="15"/>
    </row>
    <row r="55" spans="18:21" x14ac:dyDescent="0.35">
      <c r="T55" s="15"/>
    </row>
    <row r="56" spans="18:21" x14ac:dyDescent="0.35">
      <c r="T56" s="15"/>
    </row>
    <row r="57" spans="18:21" ht="15" customHeight="1" x14ac:dyDescent="0.35"/>
    <row r="58" spans="18:21" x14ac:dyDescent="0.35">
      <c r="S58" s="14"/>
    </row>
    <row r="59" spans="18:21" x14ac:dyDescent="0.35">
      <c r="R59" s="15"/>
      <c r="S59" s="15"/>
    </row>
    <row r="60" spans="18:21" x14ac:dyDescent="0.35">
      <c r="R60" s="15"/>
      <c r="S60" s="15"/>
    </row>
    <row r="61" spans="18:21" x14ac:dyDescent="0.35">
      <c r="T61" s="15"/>
    </row>
    <row r="62" spans="18:21" x14ac:dyDescent="0.35">
      <c r="T62" s="15"/>
    </row>
    <row r="64" spans="18:21" x14ac:dyDescent="0.35">
      <c r="S64" s="15"/>
      <c r="T64" s="15"/>
      <c r="U64" s="15"/>
    </row>
    <row r="65" spans="3:19" x14ac:dyDescent="0.35">
      <c r="S65" s="15"/>
    </row>
    <row r="66" spans="3:19" x14ac:dyDescent="0.35"/>
    <row r="69" spans="3:19" x14ac:dyDescent="0.35">
      <c r="S69" s="15"/>
    </row>
    <row r="71" spans="3:19" x14ac:dyDescent="0.35"/>
    <row r="73" spans="3:19" x14ac:dyDescent="0.35">
      <c r="S73" s="15"/>
    </row>
    <row r="76" spans="3:19" x14ac:dyDescent="0.35"/>
    <row r="77" spans="3:19" x14ac:dyDescent="0.35"/>
    <row r="83" spans="3:3" x14ac:dyDescent="0.35"/>
    <row r="84" spans="3:3" x14ac:dyDescent="0.35"/>
    <row r="90" spans="3:3" ht="15" customHeight="1" x14ac:dyDescent="0.35"/>
    <row r="92" spans="3:3" ht="15" customHeight="1" x14ac:dyDescent="0.35"/>
    <row r="93" spans="3:3" ht="15" customHeight="1" x14ac:dyDescent="0.35"/>
    <row r="95" spans="3:3" ht="15" customHeight="1" x14ac:dyDescent="0.35"/>
    <row r="96" spans="3:3" ht="15" customHeight="1" x14ac:dyDescent="0.35"/>
    <row r="97" ht="15.75" customHeight="1" x14ac:dyDescent="0.35"/>
  </sheetData>
  <phoneticPr fontId="32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2D90-8617-4221-AA40-FE845A934E49}">
  <dimension ref="A2:AA101"/>
  <sheetViews>
    <sheetView zoomScale="42" zoomScaleNormal="42" workbookViewId="0">
      <selection activeCell="M100" sqref="M100"/>
    </sheetView>
  </sheetViews>
  <sheetFormatPr defaultColWidth="0" defaultRowHeight="14.5" outlineLevelRow="1" x14ac:dyDescent="0.35"/>
  <cols>
    <col min="1" max="2" width="11.81640625" customWidth="1"/>
    <col min="3" max="3" width="20.1796875" bestFit="1" customWidth="1"/>
    <col min="4" max="27" width="11.81640625" customWidth="1"/>
    <col min="28" max="16384" width="11.81640625" hidden="1"/>
  </cols>
  <sheetData>
    <row r="2" spans="2:27" ht="15.5" x14ac:dyDescent="0.35">
      <c r="C2" s="56"/>
      <c r="D2" s="56"/>
      <c r="E2" s="56"/>
      <c r="F2" s="56"/>
      <c r="G2" s="56"/>
      <c r="H2" s="56"/>
      <c r="I2" s="56"/>
    </row>
    <row r="4" spans="2:27" ht="15.5" x14ac:dyDescent="0.35">
      <c r="D4" s="56" t="s">
        <v>89</v>
      </c>
      <c r="E4" s="56">
        <f>'P&amp;Lv2'!D5</f>
        <v>1</v>
      </c>
      <c r="F4" s="56">
        <f>E4+1</f>
        <v>2</v>
      </c>
      <c r="G4" s="56">
        <f>F4+1</f>
        <v>3</v>
      </c>
      <c r="H4" s="56">
        <f>G4+1</f>
        <v>4</v>
      </c>
      <c r="I4" s="56">
        <f>H4+1</f>
        <v>5</v>
      </c>
      <c r="J4" s="56">
        <f>I4+1</f>
        <v>6</v>
      </c>
    </row>
    <row r="5" spans="2:27" ht="15.5" x14ac:dyDescent="0.35">
      <c r="D5" s="57" t="s">
        <v>216</v>
      </c>
      <c r="E5" s="58">
        <v>0.56000000000000005</v>
      </c>
      <c r="F5" s="58">
        <v>0.25</v>
      </c>
      <c r="G5" s="58">
        <v>0.25</v>
      </c>
      <c r="H5" s="58">
        <v>0.23</v>
      </c>
      <c r="I5" s="58">
        <v>0.11</v>
      </c>
      <c r="J5" s="58">
        <v>0.11</v>
      </c>
    </row>
    <row r="9" spans="2:27" ht="15.5" x14ac:dyDescent="0.35">
      <c r="C9" s="56" t="s">
        <v>85</v>
      </c>
      <c r="D9" s="56">
        <v>1</v>
      </c>
      <c r="E9" s="56">
        <f t="shared" ref="E9:M9" si="0">D9+1</f>
        <v>2</v>
      </c>
      <c r="F9" s="56">
        <f t="shared" si="0"/>
        <v>3</v>
      </c>
      <c r="G9" s="56">
        <f t="shared" si="0"/>
        <v>4</v>
      </c>
      <c r="H9" s="56">
        <f t="shared" si="0"/>
        <v>5</v>
      </c>
      <c r="I9" s="56">
        <f t="shared" si="0"/>
        <v>6</v>
      </c>
      <c r="J9" s="56">
        <f t="shared" si="0"/>
        <v>7</v>
      </c>
      <c r="K9" s="56">
        <f t="shared" si="0"/>
        <v>8</v>
      </c>
      <c r="L9" s="56">
        <f t="shared" si="0"/>
        <v>9</v>
      </c>
      <c r="M9" s="56">
        <f t="shared" si="0"/>
        <v>10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1" spans="2:27" x14ac:dyDescent="0.35">
      <c r="B11" t="s">
        <v>86</v>
      </c>
      <c r="C11" t="s">
        <v>78</v>
      </c>
      <c r="D11">
        <f>'P&amp;Lv2'!D15</f>
        <v>1300</v>
      </c>
      <c r="E11">
        <f>'P&amp;Lv2'!E15</f>
        <v>2000</v>
      </c>
      <c r="F11">
        <f>'P&amp;Lv2'!F15</f>
        <v>3300</v>
      </c>
      <c r="G11">
        <f>'P&amp;Lv2'!G15</f>
        <v>3465</v>
      </c>
      <c r="H11">
        <f>'P&amp;Lv2'!H15</f>
        <v>3638.25</v>
      </c>
      <c r="I11">
        <f>'P&amp;Lv2'!I15</f>
        <v>3820.1624999999999</v>
      </c>
      <c r="J11">
        <f>'P&amp;Lv2'!J15</f>
        <v>4011.1706250000002</v>
      </c>
      <c r="K11">
        <f>'P&amp;Lv2'!K15</f>
        <v>4211.7291562500004</v>
      </c>
      <c r="L11">
        <f>'P&amp;Lv2'!L15</f>
        <v>4422.3156140625006</v>
      </c>
      <c r="M11">
        <f>'P&amp;Lv2'!M15</f>
        <v>4643.4313947656265</v>
      </c>
    </row>
    <row r="13" spans="2:27" x14ac:dyDescent="0.35">
      <c r="C13" t="s">
        <v>79</v>
      </c>
      <c r="D13">
        <f>D11</f>
        <v>1300</v>
      </c>
      <c r="E13" s="59">
        <f>(E11+D13) +E98</f>
        <v>2897</v>
      </c>
      <c r="F13" s="59">
        <f t="shared" ref="F13:M13" si="1">(F11+E13) +F98</f>
        <v>5577</v>
      </c>
      <c r="G13" s="59">
        <f t="shared" si="1"/>
        <v>7993</v>
      </c>
      <c r="H13" s="59">
        <f t="shared" si="1"/>
        <v>10361.1</v>
      </c>
      <c r="I13" s="59">
        <f t="shared" si="1"/>
        <v>12747.405000000001</v>
      </c>
      <c r="J13" s="59">
        <f t="shared" si="1"/>
        <v>15109.025250000001</v>
      </c>
      <c r="K13" s="59">
        <f t="shared" si="1"/>
        <v>17588.726512500001</v>
      </c>
      <c r="L13" s="59">
        <f t="shared" si="1"/>
        <v>20192.412838125001</v>
      </c>
      <c r="M13" s="59">
        <f t="shared" si="1"/>
        <v>22926.283480031252</v>
      </c>
    </row>
    <row r="14" spans="2:27" ht="18" hidden="1" customHeight="1" outlineLevel="1" x14ac:dyDescent="0.35"/>
    <row r="15" spans="2:27" ht="15.5" hidden="1" outlineLevel="1" x14ac:dyDescent="0.35">
      <c r="C15" s="60" t="s">
        <v>80</v>
      </c>
    </row>
    <row r="16" spans="2:27" hidden="1" outlineLevel="1" x14ac:dyDescent="0.35">
      <c r="C16" s="57">
        <v>1</v>
      </c>
      <c r="D16" s="61">
        <f>ChurnMatrix!E$5</f>
        <v>0.56000000000000005</v>
      </c>
      <c r="E16" s="61">
        <f>ChurnMatrix!F$5</f>
        <v>0.25</v>
      </c>
      <c r="F16" s="61">
        <f>ChurnMatrix!G$5</f>
        <v>0.25</v>
      </c>
      <c r="G16" s="61">
        <f>ChurnMatrix!H$5</f>
        <v>0.23</v>
      </c>
      <c r="H16" s="61">
        <f>ChurnMatrix!I$5</f>
        <v>0.11</v>
      </c>
      <c r="I16" s="61">
        <f>ChurnMatrix!J$5</f>
        <v>0.11</v>
      </c>
      <c r="J16" s="61"/>
      <c r="K16" s="61"/>
    </row>
    <row r="17" spans="3:27" hidden="1" outlineLevel="1" x14ac:dyDescent="0.35">
      <c r="C17" s="57">
        <f t="shared" ref="C17:C39" si="2">C16+1</f>
        <v>2</v>
      </c>
      <c r="D17" s="61" t="str">
        <f>IF(OR(D$9&gt;($C17+5),(D$9-$C17)&lt;0),"",_xlfn.XLOOKUP(D$9-$C16,ChurnMatrix!$E$4:$J$4,ChurnMatrix!$E$5:$J$5))</f>
        <v/>
      </c>
      <c r="E17" s="61">
        <f>IF(OR(E$9&gt;($C17+5),(E$9-$C17)&lt;0),"",_xlfn.XLOOKUP(E$9-$C16,ChurnMatrix!$E$4:$J$4,ChurnMatrix!$E$5:$J$5))</f>
        <v>0.56000000000000005</v>
      </c>
      <c r="F17" s="61">
        <f>IF(OR(F$9&gt;($C17+5),(F$9-$C17)&lt;0),"",_xlfn.XLOOKUP(F$9-$C16,ChurnMatrix!$E$4:$J$4,ChurnMatrix!$E$5:$J$5))</f>
        <v>0.25</v>
      </c>
      <c r="G17" s="61">
        <f>IF(OR(G$9&gt;($C17+5),(G$9-$C17)&lt;0),"",_xlfn.XLOOKUP(G$9-$C16,ChurnMatrix!$E$4:$J$4,ChurnMatrix!$E$5:$J$5))</f>
        <v>0.25</v>
      </c>
      <c r="H17" s="61">
        <f>IF(OR(H$9&gt;($C17+5),(H$9-$C17)&lt;0),"",_xlfn.XLOOKUP(H$9-$C16,ChurnMatrix!$E$4:$J$4,ChurnMatrix!$E$5:$J$5))</f>
        <v>0.23</v>
      </c>
      <c r="I17" s="61">
        <f>IF(OR(I$9&gt;($C17+5),(I$9-$C17)&lt;0),"",_xlfn.XLOOKUP(I$9-$C16,ChurnMatrix!$E$4:$J$4,ChurnMatrix!$E$5:$J$5))</f>
        <v>0.11</v>
      </c>
      <c r="J17" s="61">
        <f>IF(OR(J$9&gt;($C17+5),(J$9-$C17)&lt;0),"",_xlfn.XLOOKUP(J$9-$C16,ChurnMatrix!$E$4:$J$4,ChurnMatrix!$E$5:$J$5))</f>
        <v>0.11</v>
      </c>
      <c r="K17" s="61" t="str">
        <f>IF(OR(K$9&gt;($C17+5),(K$9-$C17)&lt;0),"",_xlfn.XLOOKUP(K$9-$C16,ChurnMatrix!$E$4:$J$4,ChurnMatrix!$E$5:$J$5))</f>
        <v/>
      </c>
      <c r="L17" s="61" t="str">
        <f>IF(OR(L$9&gt;($C17+5),(L$9-$C17)&lt;0),"",_xlfn.XLOOKUP(L$9-$C16,ChurnMatrix!$E$4:$J$4,ChurnMatrix!$E$5:$J$5))</f>
        <v/>
      </c>
      <c r="M17" s="61" t="str">
        <f>IF(OR(M$9&gt;($C17+5),(M$9-$C17)&lt;0),"",_xlfn.XLOOKUP(M$9-$C16,ChurnMatrix!$E$4:$J$4,ChurnMatrix!$E$5:$J$5))</f>
        <v/>
      </c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</row>
    <row r="18" spans="3:27" hidden="1" outlineLevel="1" x14ac:dyDescent="0.35">
      <c r="C18" s="57">
        <f t="shared" si="2"/>
        <v>3</v>
      </c>
      <c r="D18" s="61" t="str">
        <f>IF(OR(D$9&gt;($C18+5),(D$9-$C18)&lt;0),"",_xlfn.XLOOKUP(D$9-$C17,ChurnMatrix!$E$4:$J$4,ChurnMatrix!$E$5:$J$5))</f>
        <v/>
      </c>
      <c r="E18" s="61" t="str">
        <f>IF(OR(E$9&gt;($C18+5),(E$9-$C18)&lt;0),"",_xlfn.XLOOKUP(E$9-$C17,ChurnMatrix!$E$4:$J$4,ChurnMatrix!$E$5:$J$5))</f>
        <v/>
      </c>
      <c r="F18" s="61">
        <f>IF(OR(F$9&gt;($C18+5),(F$9-$C18)&lt;0),"",_xlfn.XLOOKUP(F$9-$C17,ChurnMatrix!$E$4:$J$4,ChurnMatrix!$E$5:$J$5))</f>
        <v>0.56000000000000005</v>
      </c>
      <c r="G18" s="61">
        <f>IF(OR(G$9&gt;($C18+5),(G$9-$C18)&lt;0),"",_xlfn.XLOOKUP(G$9-$C17,ChurnMatrix!$E$4:$J$4,ChurnMatrix!$E$5:$J$5))</f>
        <v>0.25</v>
      </c>
      <c r="H18" s="61">
        <f>IF(OR(H$9&gt;($C18+5),(H$9-$C18)&lt;0),"",_xlfn.XLOOKUP(H$9-$C17,ChurnMatrix!$E$4:$J$4,ChurnMatrix!$E$5:$J$5))</f>
        <v>0.25</v>
      </c>
      <c r="I18" s="61">
        <f>IF(OR(I$9&gt;($C18+5),(I$9-$C18)&lt;0),"",_xlfn.XLOOKUP(I$9-$C17,ChurnMatrix!$E$4:$J$4,ChurnMatrix!$E$5:$J$5))</f>
        <v>0.23</v>
      </c>
      <c r="J18" s="61">
        <f>IF(OR(J$9&gt;($C18+5),(J$9-$C18)&lt;0),"",_xlfn.XLOOKUP(J$9-$C17,ChurnMatrix!$E$4:$J$4,ChurnMatrix!$E$5:$J$5))</f>
        <v>0.11</v>
      </c>
      <c r="K18" s="61">
        <f>IF(OR(K$9&gt;($C18+5),(K$9-$C18)&lt;0),"",_xlfn.XLOOKUP(K$9-$C17,ChurnMatrix!$E$4:$J$4,ChurnMatrix!$E$5:$J$5))</f>
        <v>0.11</v>
      </c>
      <c r="L18" s="61" t="str">
        <f>IF(OR(L$9&gt;($C18+5),(L$9-$C18)&lt;0),"",_xlfn.XLOOKUP(L$9-$C17,ChurnMatrix!$E$4:$J$4,ChurnMatrix!$E$5:$J$5))</f>
        <v/>
      </c>
      <c r="M18" s="61" t="str">
        <f>IF(OR(M$9&gt;($C18+5),(M$9-$C18)&lt;0),"",_xlfn.XLOOKUP(M$9-$C17,ChurnMatrix!$E$4:$J$4,ChurnMatrix!$E$5:$J$5))</f>
        <v/>
      </c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</row>
    <row r="19" spans="3:27" hidden="1" outlineLevel="1" x14ac:dyDescent="0.35">
      <c r="C19" s="57">
        <f t="shared" si="2"/>
        <v>4</v>
      </c>
      <c r="D19" s="61" t="str">
        <f>IF(OR(D$9&gt;($C19+5),(D$9-$C19)&lt;0),"",_xlfn.XLOOKUP(D$9-$C18,ChurnMatrix!$E$4:$J$4,ChurnMatrix!$E$5:$J$5))</f>
        <v/>
      </c>
      <c r="E19" s="61" t="str">
        <f>IF(OR(E$9&gt;($C19+5),(E$9-$C19)&lt;0),"",_xlfn.XLOOKUP(E$9-$C18,ChurnMatrix!$E$4:$J$4,ChurnMatrix!$E$5:$J$5))</f>
        <v/>
      </c>
      <c r="F19" s="61" t="str">
        <f>IF(OR(F$9&gt;($C19+5),(F$9-$C19)&lt;0),"",_xlfn.XLOOKUP(F$9-$C18,ChurnMatrix!$E$4:$J$4,ChurnMatrix!$E$5:$J$5))</f>
        <v/>
      </c>
      <c r="G19" s="61">
        <f>IF(OR(G$9&gt;($C19+5),(G$9-$C19)&lt;0),"",_xlfn.XLOOKUP(G$9-$C18,ChurnMatrix!$E$4:$J$4,ChurnMatrix!$E$5:$J$5))</f>
        <v>0.56000000000000005</v>
      </c>
      <c r="H19" s="61">
        <f>IF(OR(H$9&gt;($C19+5),(H$9-$C19)&lt;0),"",_xlfn.XLOOKUP(H$9-$C18,ChurnMatrix!$E$4:$J$4,ChurnMatrix!$E$5:$J$5))</f>
        <v>0.25</v>
      </c>
      <c r="I19" s="61">
        <f>IF(OR(I$9&gt;($C19+5),(I$9-$C19)&lt;0),"",_xlfn.XLOOKUP(I$9-$C18,ChurnMatrix!$E$4:$J$4,ChurnMatrix!$E$5:$J$5))</f>
        <v>0.25</v>
      </c>
      <c r="J19" s="61">
        <f>IF(OR(J$9&gt;($C19+5),(J$9-$C19)&lt;0),"",_xlfn.XLOOKUP(J$9-$C18,ChurnMatrix!$E$4:$J$4,ChurnMatrix!$E$5:$J$5))</f>
        <v>0.23</v>
      </c>
      <c r="K19" s="61">
        <f>IF(OR(K$9&gt;($C19+5),(K$9-$C19)&lt;0),"",_xlfn.XLOOKUP(K$9-$C18,ChurnMatrix!$E$4:$J$4,ChurnMatrix!$E$5:$J$5))</f>
        <v>0.11</v>
      </c>
      <c r="L19" s="61">
        <f>IF(OR(L$9&gt;($C19+5),(L$9-$C19)&lt;0),"",_xlfn.XLOOKUP(L$9-$C18,ChurnMatrix!$E$4:$J$4,ChurnMatrix!$E$5:$J$5))</f>
        <v>0.11</v>
      </c>
      <c r="M19" s="61" t="str">
        <f>IF(OR(M$9&gt;($C19+5),(M$9-$C19)&lt;0),"",_xlfn.XLOOKUP(M$9-$C18,ChurnMatrix!$E$4:$J$4,ChurnMatrix!$E$5:$J$5))</f>
        <v/>
      </c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 spans="3:27" hidden="1" outlineLevel="1" x14ac:dyDescent="0.35">
      <c r="C20" s="57">
        <f t="shared" si="2"/>
        <v>5</v>
      </c>
      <c r="D20" s="61" t="str">
        <f>IF(OR(D$9&gt;($C20+5),(D$9-$C20)&lt;0),"",_xlfn.XLOOKUP(D$9-$C19,ChurnMatrix!$E$4:$J$4,ChurnMatrix!$E$5:$J$5))</f>
        <v/>
      </c>
      <c r="E20" s="61" t="str">
        <f>IF(OR(E$9&gt;($C20+5),(E$9-$C20)&lt;0),"",_xlfn.XLOOKUP(E$9-$C19,ChurnMatrix!$E$4:$J$4,ChurnMatrix!$E$5:$J$5))</f>
        <v/>
      </c>
      <c r="F20" s="61" t="str">
        <f>IF(OR(F$9&gt;($C20+5),(F$9-$C20)&lt;0),"",_xlfn.XLOOKUP(F$9-$C19,ChurnMatrix!$E$4:$J$4,ChurnMatrix!$E$5:$J$5))</f>
        <v/>
      </c>
      <c r="G20" s="61" t="str">
        <f>IF(OR(G$9&gt;($C20+5),(G$9-$C20)&lt;0),"",_xlfn.XLOOKUP(G$9-$C19,ChurnMatrix!$E$4:$J$4,ChurnMatrix!$E$5:$J$5))</f>
        <v/>
      </c>
      <c r="H20" s="61">
        <f>IF(OR(H$9&gt;($C20+5),(H$9-$C20)&lt;0),"",_xlfn.XLOOKUP(H$9-$C19,ChurnMatrix!$E$4:$J$4,ChurnMatrix!$E$5:$J$5))</f>
        <v>0.56000000000000005</v>
      </c>
      <c r="I20" s="61">
        <f>IF(OR(I$9&gt;($C20+5),(I$9-$C20)&lt;0),"",_xlfn.XLOOKUP(I$9-$C19,ChurnMatrix!$E$4:$J$4,ChurnMatrix!$E$5:$J$5))</f>
        <v>0.25</v>
      </c>
      <c r="J20" s="61">
        <f>IF(OR(J$9&gt;($C20+5),(J$9-$C20)&lt;0),"",_xlfn.XLOOKUP(J$9-$C19,ChurnMatrix!$E$4:$J$4,ChurnMatrix!$E$5:$J$5))</f>
        <v>0.25</v>
      </c>
      <c r="K20" s="61">
        <f>IF(OR(K$9&gt;($C20+5),(K$9-$C20)&lt;0),"",_xlfn.XLOOKUP(K$9-$C19,ChurnMatrix!$E$4:$J$4,ChurnMatrix!$E$5:$J$5))</f>
        <v>0.23</v>
      </c>
      <c r="L20" s="61">
        <f>IF(OR(L$9&gt;($C20+5),(L$9-$C20)&lt;0),"",_xlfn.XLOOKUP(L$9-$C19,ChurnMatrix!$E$4:$J$4,ChurnMatrix!$E$5:$J$5))</f>
        <v>0.11</v>
      </c>
      <c r="M20" s="61">
        <f>IF(OR(M$9&gt;($C20+5),(M$9-$C20)&lt;0),"",_xlfn.XLOOKUP(M$9-$C19,ChurnMatrix!$E$4:$J$4,ChurnMatrix!$E$5:$J$5))</f>
        <v>0.11</v>
      </c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 spans="3:27" hidden="1" outlineLevel="1" x14ac:dyDescent="0.35">
      <c r="C21" s="57">
        <f t="shared" si="2"/>
        <v>6</v>
      </c>
      <c r="D21" s="61" t="str">
        <f>IF(OR(D$9&gt;($C21+5),(D$9-$C21)&lt;0),"",_xlfn.XLOOKUP(D$9-$C20,ChurnMatrix!$E$4:$J$4,ChurnMatrix!$E$5:$J$5))</f>
        <v/>
      </c>
      <c r="E21" s="61" t="str">
        <f>IF(OR(E$9&gt;($C21+5),(E$9-$C21)&lt;0),"",_xlfn.XLOOKUP(E$9-$C20,ChurnMatrix!$E$4:$J$4,ChurnMatrix!$E$5:$J$5))</f>
        <v/>
      </c>
      <c r="F21" s="61" t="str">
        <f>IF(OR(F$9&gt;($C21+5),(F$9-$C21)&lt;0),"",_xlfn.XLOOKUP(F$9-$C20,ChurnMatrix!$E$4:$J$4,ChurnMatrix!$E$5:$J$5))</f>
        <v/>
      </c>
      <c r="G21" s="61" t="str">
        <f>IF(OR(G$9&gt;($C21+5),(G$9-$C21)&lt;0),"",_xlfn.XLOOKUP(G$9-$C20,ChurnMatrix!$E$4:$J$4,ChurnMatrix!$E$5:$J$5))</f>
        <v/>
      </c>
      <c r="H21" s="61" t="str">
        <f>IF(OR(H$9&gt;($C21+5),(H$9-$C21)&lt;0),"",_xlfn.XLOOKUP(H$9-$C20,ChurnMatrix!$E$4:$J$4,ChurnMatrix!$E$5:$J$5))</f>
        <v/>
      </c>
      <c r="I21" s="61">
        <f>IF(OR(I$9&gt;($C21+5),(I$9-$C21)&lt;0),"",_xlfn.XLOOKUP(I$9-$C20,ChurnMatrix!$E$4:$J$4,ChurnMatrix!$E$5:$J$5))</f>
        <v>0.56000000000000005</v>
      </c>
      <c r="J21" s="61">
        <f>IF(OR(J$9&gt;($C21+5),(J$9-$C21)&lt;0),"",_xlfn.XLOOKUP(J$9-$C20,ChurnMatrix!$E$4:$J$4,ChurnMatrix!$E$5:$J$5))</f>
        <v>0.25</v>
      </c>
      <c r="K21" s="61">
        <f>IF(OR(K$9&gt;($C21+5),(K$9-$C21)&lt;0),"",_xlfn.XLOOKUP(K$9-$C20,ChurnMatrix!$E$4:$J$4,ChurnMatrix!$E$5:$J$5))</f>
        <v>0.25</v>
      </c>
      <c r="L21" s="61">
        <f>IF(OR(L$9&gt;($C21+5),(L$9-$C21)&lt;0),"",_xlfn.XLOOKUP(L$9-$C20,ChurnMatrix!$E$4:$J$4,ChurnMatrix!$E$5:$J$5))</f>
        <v>0.23</v>
      </c>
      <c r="M21" s="61">
        <f>IF(OR(M$9&gt;($C21+5),(M$9-$C21)&lt;0),"",_xlfn.XLOOKUP(M$9-$C20,ChurnMatrix!$E$4:$J$4,ChurnMatrix!$E$5:$J$5))</f>
        <v>0.11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 spans="3:27" hidden="1" outlineLevel="1" x14ac:dyDescent="0.35">
      <c r="C22" s="57">
        <f t="shared" si="2"/>
        <v>7</v>
      </c>
      <c r="D22" s="61" t="str">
        <f>IF(OR(D$9&gt;($C22+5),(D$9-$C22)&lt;0),"",_xlfn.XLOOKUP(D$9-$C21,ChurnMatrix!$E$4:$J$4,ChurnMatrix!$E$5:$J$5))</f>
        <v/>
      </c>
      <c r="E22" s="61" t="str">
        <f>IF(OR(E$9&gt;($C22+5),(E$9-$C22)&lt;0),"",_xlfn.XLOOKUP(E$9-$C21,ChurnMatrix!$E$4:$J$4,ChurnMatrix!$E$5:$J$5))</f>
        <v/>
      </c>
      <c r="F22" s="61" t="str">
        <f>IF(OR(F$9&gt;($C22+5),(F$9-$C22)&lt;0),"",_xlfn.XLOOKUP(F$9-$C21,ChurnMatrix!$E$4:$J$4,ChurnMatrix!$E$5:$J$5))</f>
        <v/>
      </c>
      <c r="G22" s="61" t="str">
        <f>IF(OR(G$9&gt;($C22+5),(G$9-$C22)&lt;0),"",_xlfn.XLOOKUP(G$9-$C21,ChurnMatrix!$E$4:$J$4,ChurnMatrix!$E$5:$J$5))</f>
        <v/>
      </c>
      <c r="H22" s="61" t="str">
        <f>IF(OR(H$9&gt;($C22+5),(H$9-$C22)&lt;0),"",_xlfn.XLOOKUP(H$9-$C21,ChurnMatrix!$E$4:$J$4,ChurnMatrix!$E$5:$J$5))</f>
        <v/>
      </c>
      <c r="I22" s="61" t="str">
        <f>IF(OR(I$9&gt;($C22+5),(I$9-$C22)&lt;0),"",_xlfn.XLOOKUP(I$9-$C21,ChurnMatrix!$E$4:$J$4,ChurnMatrix!$E$5:$J$5))</f>
        <v/>
      </c>
      <c r="J22" s="61">
        <f>IF(OR(J$9&gt;($C22+5),(J$9-$C22)&lt;0),"",_xlfn.XLOOKUP(J$9-$C21,ChurnMatrix!$E$4:$J$4,ChurnMatrix!$E$5:$J$5))</f>
        <v>0.56000000000000005</v>
      </c>
      <c r="K22" s="61">
        <f>IF(OR(K$9&gt;($C22+5),(K$9-$C22)&lt;0),"",_xlfn.XLOOKUP(K$9-$C21,ChurnMatrix!$E$4:$J$4,ChurnMatrix!$E$5:$J$5))</f>
        <v>0.25</v>
      </c>
      <c r="L22" s="61">
        <f>IF(OR(L$9&gt;($C22+5),(L$9-$C22)&lt;0),"",_xlfn.XLOOKUP(L$9-$C21,ChurnMatrix!$E$4:$J$4,ChurnMatrix!$E$5:$J$5))</f>
        <v>0.25</v>
      </c>
      <c r="M22" s="61">
        <f>IF(OR(M$9&gt;($C22+5),(M$9-$C22)&lt;0),"",_xlfn.XLOOKUP(M$9-$C21,ChurnMatrix!$E$4:$J$4,ChurnMatrix!$E$5:$J$5))</f>
        <v>0.23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 spans="3:27" hidden="1" outlineLevel="1" x14ac:dyDescent="0.35">
      <c r="C23" s="57">
        <f t="shared" si="2"/>
        <v>8</v>
      </c>
      <c r="D23" s="61" t="str">
        <f>IF(OR(D$9&gt;($C23+5),(D$9-$C23)&lt;0),"",_xlfn.XLOOKUP(D$9-$C22,ChurnMatrix!$E$4:$J$4,ChurnMatrix!$E$5:$J$5))</f>
        <v/>
      </c>
      <c r="E23" s="61" t="str">
        <f>IF(OR(E$9&gt;($C23+5),(E$9-$C23)&lt;0),"",_xlfn.XLOOKUP(E$9-$C22,ChurnMatrix!$E$4:$J$4,ChurnMatrix!$E$5:$J$5))</f>
        <v/>
      </c>
      <c r="F23" s="61" t="str">
        <f>IF(OR(F$9&gt;($C23+5),(F$9-$C23)&lt;0),"",_xlfn.XLOOKUP(F$9-$C22,ChurnMatrix!$E$4:$J$4,ChurnMatrix!$E$5:$J$5))</f>
        <v/>
      </c>
      <c r="G23" s="61" t="str">
        <f>IF(OR(G$9&gt;($C23+5),(G$9-$C23)&lt;0),"",_xlfn.XLOOKUP(G$9-$C22,ChurnMatrix!$E$4:$J$4,ChurnMatrix!$E$5:$J$5))</f>
        <v/>
      </c>
      <c r="H23" s="61" t="str">
        <f>IF(OR(H$9&gt;($C23+5),(H$9-$C23)&lt;0),"",_xlfn.XLOOKUP(H$9-$C22,ChurnMatrix!$E$4:$J$4,ChurnMatrix!$E$5:$J$5))</f>
        <v/>
      </c>
      <c r="I23" s="61" t="str">
        <f>IF(OR(I$9&gt;($C23+5),(I$9-$C23)&lt;0),"",_xlfn.XLOOKUP(I$9-$C22,ChurnMatrix!$E$4:$J$4,ChurnMatrix!$E$5:$J$5))</f>
        <v/>
      </c>
      <c r="J23" s="61" t="str">
        <f>IF(OR(J$9&gt;($C23+5),(J$9-$C23)&lt;0),"",_xlfn.XLOOKUP(J$9-$C22,ChurnMatrix!$E$4:$J$4,ChurnMatrix!$E$5:$J$5))</f>
        <v/>
      </c>
      <c r="K23" s="61">
        <f>IF(OR(K$9&gt;($C23+5),(K$9-$C23)&lt;0),"",_xlfn.XLOOKUP(K$9-$C22,ChurnMatrix!$E$4:$J$4,ChurnMatrix!$E$5:$J$5))</f>
        <v>0.56000000000000005</v>
      </c>
      <c r="L23" s="61">
        <f>IF(OR(L$9&gt;($C23+5),(L$9-$C23)&lt;0),"",_xlfn.XLOOKUP(L$9-$C22,ChurnMatrix!$E$4:$J$4,ChurnMatrix!$E$5:$J$5))</f>
        <v>0.25</v>
      </c>
      <c r="M23" s="61">
        <f>IF(OR(M$9&gt;($C23+5),(M$9-$C23)&lt;0),"",_xlfn.XLOOKUP(M$9-$C22,ChurnMatrix!$E$4:$J$4,ChurnMatrix!$E$5:$J$5))</f>
        <v>0.25</v>
      </c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 spans="3:27" hidden="1" outlineLevel="1" x14ac:dyDescent="0.35">
      <c r="C24" s="57">
        <f t="shared" si="2"/>
        <v>9</v>
      </c>
      <c r="D24" s="61" t="str">
        <f>IF(OR(D$9&gt;($C24+5),(D$9-$C24)&lt;0),"",_xlfn.XLOOKUP(D$9-$C23,ChurnMatrix!$E$4:$J$4,ChurnMatrix!$E$5:$J$5))</f>
        <v/>
      </c>
      <c r="E24" s="61" t="str">
        <f>IF(OR(E$9&gt;($C24+5),(E$9-$C24)&lt;0),"",_xlfn.XLOOKUP(E$9-$C23,ChurnMatrix!$E$4:$J$4,ChurnMatrix!$E$5:$J$5))</f>
        <v/>
      </c>
      <c r="F24" s="61" t="str">
        <f>IF(OR(F$9&gt;($C24+5),(F$9-$C24)&lt;0),"",_xlfn.XLOOKUP(F$9-$C23,ChurnMatrix!$E$4:$J$4,ChurnMatrix!$E$5:$J$5))</f>
        <v/>
      </c>
      <c r="G24" s="61" t="str">
        <f>IF(OR(G$9&gt;($C24+5),(G$9-$C24)&lt;0),"",_xlfn.XLOOKUP(G$9-$C23,ChurnMatrix!$E$4:$J$4,ChurnMatrix!$E$5:$J$5))</f>
        <v/>
      </c>
      <c r="H24" s="61" t="str">
        <f>IF(OR(H$9&gt;($C24+5),(H$9-$C24)&lt;0),"",_xlfn.XLOOKUP(H$9-$C23,ChurnMatrix!$E$4:$J$4,ChurnMatrix!$E$5:$J$5))</f>
        <v/>
      </c>
      <c r="I24" s="61" t="str">
        <f>IF(OR(I$9&gt;($C24+5),(I$9-$C24)&lt;0),"",_xlfn.XLOOKUP(I$9-$C23,ChurnMatrix!$E$4:$J$4,ChurnMatrix!$E$5:$J$5))</f>
        <v/>
      </c>
      <c r="J24" s="61" t="str">
        <f>IF(OR(J$9&gt;($C24+5),(J$9-$C24)&lt;0),"",_xlfn.XLOOKUP(J$9-$C23,ChurnMatrix!$E$4:$J$4,ChurnMatrix!$E$5:$J$5))</f>
        <v/>
      </c>
      <c r="K24" s="61" t="str">
        <f>IF(OR(K$9&gt;($C24+5),(K$9-$C24)&lt;0),"",_xlfn.XLOOKUP(K$9-$C23,ChurnMatrix!$E$4:$J$4,ChurnMatrix!$E$5:$J$5))</f>
        <v/>
      </c>
      <c r="L24" s="61">
        <f>IF(OR(L$9&gt;($C24+5),(L$9-$C24)&lt;0),"",_xlfn.XLOOKUP(L$9-$C23,ChurnMatrix!$E$4:$J$4,ChurnMatrix!$E$5:$J$5))</f>
        <v>0.56000000000000005</v>
      </c>
      <c r="M24" s="61">
        <f>IF(OR(M$9&gt;($C24+5),(M$9-$C24)&lt;0),"",_xlfn.XLOOKUP(M$9-$C23,ChurnMatrix!$E$4:$J$4,ChurnMatrix!$E$5:$J$5))</f>
        <v>0.25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 spans="3:27" hidden="1" outlineLevel="1" x14ac:dyDescent="0.35">
      <c r="C25" s="57">
        <f t="shared" si="2"/>
        <v>10</v>
      </c>
      <c r="D25" s="61" t="str">
        <f>IF(OR(D$9&gt;($C25+5),(D$9-$C25)&lt;0),"",_xlfn.XLOOKUP(D$9-$C24,ChurnMatrix!$E$4:$J$4,ChurnMatrix!$E$5:$J$5))</f>
        <v/>
      </c>
      <c r="E25" s="61" t="str">
        <f>IF(OR(E$9&gt;($C25+5),(E$9-$C25)&lt;0),"",_xlfn.XLOOKUP(E$9-$C24,ChurnMatrix!$E$4:$J$4,ChurnMatrix!$E$5:$J$5))</f>
        <v/>
      </c>
      <c r="F25" s="61" t="str">
        <f>IF(OR(F$9&gt;($C25+5),(F$9-$C25)&lt;0),"",_xlfn.XLOOKUP(F$9-$C24,ChurnMatrix!$E$4:$J$4,ChurnMatrix!$E$5:$J$5))</f>
        <v/>
      </c>
      <c r="G25" s="61" t="str">
        <f>IF(OR(G$9&gt;($C25+5),(G$9-$C25)&lt;0),"",_xlfn.XLOOKUP(G$9-$C24,ChurnMatrix!$E$4:$J$4,ChurnMatrix!$E$5:$J$5))</f>
        <v/>
      </c>
      <c r="H25" s="61" t="str">
        <f>IF(OR(H$9&gt;($C25+5),(H$9-$C25)&lt;0),"",_xlfn.XLOOKUP(H$9-$C24,ChurnMatrix!$E$4:$J$4,ChurnMatrix!$E$5:$J$5))</f>
        <v/>
      </c>
      <c r="I25" s="61" t="str">
        <f>IF(OR(I$9&gt;($C25+5),(I$9-$C25)&lt;0),"",_xlfn.XLOOKUP(I$9-$C24,ChurnMatrix!$E$4:$J$4,ChurnMatrix!$E$5:$J$5))</f>
        <v/>
      </c>
      <c r="J25" s="61" t="str">
        <f>IF(OR(J$9&gt;($C25+5),(J$9-$C25)&lt;0),"",_xlfn.XLOOKUP(J$9-$C24,ChurnMatrix!$E$4:$J$4,ChurnMatrix!$E$5:$J$5))</f>
        <v/>
      </c>
      <c r="K25" s="61" t="str">
        <f>IF(OR(K$9&gt;($C25+5),(K$9-$C25)&lt;0),"",_xlfn.XLOOKUP(K$9-$C24,ChurnMatrix!$E$4:$J$4,ChurnMatrix!$E$5:$J$5))</f>
        <v/>
      </c>
      <c r="L25" s="61" t="str">
        <f>IF(OR(L$9&gt;($C25+5),(L$9-$C25)&lt;0),"",_xlfn.XLOOKUP(L$9-$C24,ChurnMatrix!$E$4:$J$4,ChurnMatrix!$E$5:$J$5))</f>
        <v/>
      </c>
      <c r="M25" s="61">
        <f>IF(OR(M$9&gt;($C25+5),(M$9-$C25)&lt;0),"",_xlfn.XLOOKUP(M$9-$C24,ChurnMatrix!$E$4:$J$4,ChurnMatrix!$E$5:$J$5))</f>
        <v>0.56000000000000005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 spans="3:27" hidden="1" outlineLevel="1" x14ac:dyDescent="0.35">
      <c r="C26" s="57">
        <f t="shared" si="2"/>
        <v>11</v>
      </c>
      <c r="D26" s="61" t="str">
        <f>IF(OR(D$9&gt;($C26+5),(D$9-$C26)&lt;0),"",_xlfn.XLOOKUP(D$9-$C25,ChurnMatrix!$E$4:$J$4,ChurnMatrix!$E$5:$J$5))</f>
        <v/>
      </c>
      <c r="E26" s="61" t="str">
        <f>IF(OR(E$9&gt;($C26+5),(E$9-$C26)&lt;0),"",_xlfn.XLOOKUP(E$9-$C25,ChurnMatrix!$E$4:$J$4,ChurnMatrix!$E$5:$J$5))</f>
        <v/>
      </c>
      <c r="F26" s="61" t="str">
        <f>IF(OR(F$9&gt;($C26+5),(F$9-$C26)&lt;0),"",_xlfn.XLOOKUP(F$9-$C25,ChurnMatrix!$E$4:$J$4,ChurnMatrix!$E$5:$J$5))</f>
        <v/>
      </c>
      <c r="G26" s="61" t="str">
        <f>IF(OR(G$9&gt;($C26+5),(G$9-$C26)&lt;0),"",_xlfn.XLOOKUP(G$9-$C25,ChurnMatrix!$E$4:$J$4,ChurnMatrix!$E$5:$J$5))</f>
        <v/>
      </c>
      <c r="H26" s="61" t="str">
        <f>IF(OR(H$9&gt;($C26+5),(H$9-$C26)&lt;0),"",_xlfn.XLOOKUP(H$9-$C25,ChurnMatrix!$E$4:$J$4,ChurnMatrix!$E$5:$J$5))</f>
        <v/>
      </c>
      <c r="I26" s="61" t="str">
        <f>IF(OR(I$9&gt;($C26+5),(I$9-$C26)&lt;0),"",_xlfn.XLOOKUP(I$9-$C25,ChurnMatrix!$E$4:$J$4,ChurnMatrix!$E$5:$J$5))</f>
        <v/>
      </c>
      <c r="J26" s="61" t="str">
        <f>IF(OR(J$9&gt;($C26+5),(J$9-$C26)&lt;0),"",_xlfn.XLOOKUP(J$9-$C25,ChurnMatrix!$E$4:$J$4,ChurnMatrix!$E$5:$J$5))</f>
        <v/>
      </c>
      <c r="K26" s="61" t="str">
        <f>IF(OR(K$9&gt;($C26+5),(K$9-$C26)&lt;0),"",_xlfn.XLOOKUP(K$9-$C25,ChurnMatrix!$E$4:$J$4,ChurnMatrix!$E$5:$J$5))</f>
        <v/>
      </c>
      <c r="L26" s="61" t="str">
        <f>IF(OR(L$9&gt;($C26+5),(L$9-$C26)&lt;0),"",_xlfn.XLOOKUP(L$9-$C25,ChurnMatrix!$E$4:$J$4,ChurnMatrix!$E$5:$J$5))</f>
        <v/>
      </c>
      <c r="M26" s="61" t="str">
        <f>IF(OR(M$9&gt;($C26+5),(M$9-$C26)&lt;0),"",_xlfn.XLOOKUP(M$9-$C25,ChurnMatrix!$E$4:$J$4,ChurnMatrix!$E$5:$J$5))</f>
        <v/>
      </c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 spans="3:27" hidden="1" outlineLevel="1" x14ac:dyDescent="0.35">
      <c r="C27" s="57">
        <f t="shared" si="2"/>
        <v>12</v>
      </c>
      <c r="D27" s="61" t="str">
        <f>IF(OR(D$9&gt;($C27+5),(D$9-$C27)&lt;0),"",_xlfn.XLOOKUP(D$9-$C26,ChurnMatrix!$E$4:$J$4,ChurnMatrix!$E$5:$J$5))</f>
        <v/>
      </c>
      <c r="E27" s="61" t="str">
        <f>IF(OR(E$9&gt;($C27+5),(E$9-$C27)&lt;0),"",_xlfn.XLOOKUP(E$9-$C26,ChurnMatrix!$E$4:$J$4,ChurnMatrix!$E$5:$J$5))</f>
        <v/>
      </c>
      <c r="F27" s="61" t="str">
        <f>IF(OR(F$9&gt;($C27+5),(F$9-$C27)&lt;0),"",_xlfn.XLOOKUP(F$9-$C26,ChurnMatrix!$E$4:$J$4,ChurnMatrix!$E$5:$J$5))</f>
        <v/>
      </c>
      <c r="G27" s="61" t="str">
        <f>IF(OR(G$9&gt;($C27+5),(G$9-$C27)&lt;0),"",_xlfn.XLOOKUP(G$9-$C26,ChurnMatrix!$E$4:$J$4,ChurnMatrix!$E$5:$J$5))</f>
        <v/>
      </c>
      <c r="H27" s="61" t="str">
        <f>IF(OR(H$9&gt;($C27+5),(H$9-$C27)&lt;0),"",_xlfn.XLOOKUP(H$9-$C26,ChurnMatrix!$E$4:$J$4,ChurnMatrix!$E$5:$J$5))</f>
        <v/>
      </c>
      <c r="I27" s="61" t="str">
        <f>IF(OR(I$9&gt;($C27+5),(I$9-$C27)&lt;0),"",_xlfn.XLOOKUP(I$9-$C26,ChurnMatrix!$E$4:$J$4,ChurnMatrix!$E$5:$J$5))</f>
        <v/>
      </c>
      <c r="J27" s="61" t="str">
        <f>IF(OR(J$9&gt;($C27+5),(J$9-$C27)&lt;0),"",_xlfn.XLOOKUP(J$9-$C26,ChurnMatrix!$E$4:$J$4,ChurnMatrix!$E$5:$J$5))</f>
        <v/>
      </c>
      <c r="K27" s="61" t="str">
        <f>IF(OR(K$9&gt;($C27+5),(K$9-$C27)&lt;0),"",_xlfn.XLOOKUP(K$9-$C26,ChurnMatrix!$E$4:$J$4,ChurnMatrix!$E$5:$J$5))</f>
        <v/>
      </c>
      <c r="L27" s="61" t="str">
        <f>IF(OR(L$9&gt;($C27+5),(L$9-$C27)&lt;0),"",_xlfn.XLOOKUP(L$9-$C26,ChurnMatrix!$E$4:$J$4,ChurnMatrix!$E$5:$J$5))</f>
        <v/>
      </c>
      <c r="M27" s="61" t="str">
        <f>IF(OR(M$9&gt;($C27+5),(M$9-$C27)&lt;0),"",_xlfn.XLOOKUP(M$9-$C26,ChurnMatrix!$E$4:$J$4,ChurnMatrix!$E$5:$J$5))</f>
        <v/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 spans="3:27" hidden="1" outlineLevel="1" x14ac:dyDescent="0.35">
      <c r="C28" s="57">
        <f t="shared" si="2"/>
        <v>13</v>
      </c>
      <c r="D28" s="61" t="str">
        <f>IF(OR(D$9&gt;($C28+5),(D$9-$C28)&lt;0),"",_xlfn.XLOOKUP(D$9-$C27,ChurnMatrix!$E$4:$J$4,ChurnMatrix!$E$5:$J$5))</f>
        <v/>
      </c>
      <c r="E28" s="61" t="str">
        <f>IF(OR(E$9&gt;($C28+5),(E$9-$C28)&lt;0),"",_xlfn.XLOOKUP(E$9-$C27,ChurnMatrix!$E$4:$J$4,ChurnMatrix!$E$5:$J$5))</f>
        <v/>
      </c>
      <c r="F28" s="61" t="str">
        <f>IF(OR(F$9&gt;($C28+5),(F$9-$C28)&lt;0),"",_xlfn.XLOOKUP(F$9-$C27,ChurnMatrix!$E$4:$J$4,ChurnMatrix!$E$5:$J$5))</f>
        <v/>
      </c>
      <c r="G28" s="61" t="str">
        <f>IF(OR(G$9&gt;($C28+5),(G$9-$C28)&lt;0),"",_xlfn.XLOOKUP(G$9-$C27,ChurnMatrix!$E$4:$J$4,ChurnMatrix!$E$5:$J$5))</f>
        <v/>
      </c>
      <c r="H28" s="61" t="str">
        <f>IF(OR(H$9&gt;($C28+5),(H$9-$C28)&lt;0),"",_xlfn.XLOOKUP(H$9-$C27,ChurnMatrix!$E$4:$J$4,ChurnMatrix!$E$5:$J$5))</f>
        <v/>
      </c>
      <c r="I28" s="61" t="str">
        <f>IF(OR(I$9&gt;($C28+5),(I$9-$C28)&lt;0),"",_xlfn.XLOOKUP(I$9-$C27,ChurnMatrix!$E$4:$J$4,ChurnMatrix!$E$5:$J$5))</f>
        <v/>
      </c>
      <c r="J28" s="61" t="str">
        <f>IF(OR(J$9&gt;($C28+5),(J$9-$C28)&lt;0),"",_xlfn.XLOOKUP(J$9-$C27,ChurnMatrix!$E$4:$J$4,ChurnMatrix!$E$5:$J$5))</f>
        <v/>
      </c>
      <c r="K28" s="61" t="str">
        <f>IF(OR(K$9&gt;($C28+5),(K$9-$C28)&lt;0),"",_xlfn.XLOOKUP(K$9-$C27,ChurnMatrix!$E$4:$J$4,ChurnMatrix!$E$5:$J$5))</f>
        <v/>
      </c>
      <c r="L28" s="61" t="str">
        <f>IF(OR(L$9&gt;($C28+5),(L$9-$C28)&lt;0),"",_xlfn.XLOOKUP(L$9-$C27,ChurnMatrix!$E$4:$J$4,ChurnMatrix!$E$5:$J$5))</f>
        <v/>
      </c>
      <c r="M28" s="61" t="str">
        <f>IF(OR(M$9&gt;($C28+5),(M$9-$C28)&lt;0),"",_xlfn.XLOOKUP(M$9-$C27,ChurnMatrix!$E$4:$J$4,ChurnMatrix!$E$5:$J$5))</f>
        <v/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 spans="3:27" hidden="1" outlineLevel="1" x14ac:dyDescent="0.35">
      <c r="C29" s="57">
        <f t="shared" si="2"/>
        <v>14</v>
      </c>
      <c r="D29" s="61" t="str">
        <f>IF(OR(D$9&gt;($C29+5),(D$9-$C29)&lt;0),"",_xlfn.XLOOKUP(D$9-$C28,ChurnMatrix!$E$4:$J$4,ChurnMatrix!$E$5:$J$5))</f>
        <v/>
      </c>
      <c r="E29" s="61" t="str">
        <f>IF(OR(E$9&gt;($C29+5),(E$9-$C29)&lt;0),"",_xlfn.XLOOKUP(E$9-$C28,ChurnMatrix!$E$4:$J$4,ChurnMatrix!$E$5:$J$5))</f>
        <v/>
      </c>
      <c r="F29" s="61" t="str">
        <f>IF(OR(F$9&gt;($C29+5),(F$9-$C29)&lt;0),"",_xlfn.XLOOKUP(F$9-$C28,ChurnMatrix!$E$4:$J$4,ChurnMatrix!$E$5:$J$5))</f>
        <v/>
      </c>
      <c r="G29" s="61" t="str">
        <f>IF(OR(G$9&gt;($C29+5),(G$9-$C29)&lt;0),"",_xlfn.XLOOKUP(G$9-$C28,ChurnMatrix!$E$4:$J$4,ChurnMatrix!$E$5:$J$5))</f>
        <v/>
      </c>
      <c r="H29" s="61" t="str">
        <f>IF(OR(H$9&gt;($C29+5),(H$9-$C29)&lt;0),"",_xlfn.XLOOKUP(H$9-$C28,ChurnMatrix!$E$4:$J$4,ChurnMatrix!$E$5:$J$5))</f>
        <v/>
      </c>
      <c r="I29" s="61" t="str">
        <f>IF(OR(I$9&gt;($C29+5),(I$9-$C29)&lt;0),"",_xlfn.XLOOKUP(I$9-$C28,ChurnMatrix!$E$4:$J$4,ChurnMatrix!$E$5:$J$5))</f>
        <v/>
      </c>
      <c r="J29" s="61" t="str">
        <f>IF(OR(J$9&gt;($C29+5),(J$9-$C29)&lt;0),"",_xlfn.XLOOKUP(J$9-$C28,ChurnMatrix!$E$4:$J$4,ChurnMatrix!$E$5:$J$5))</f>
        <v/>
      </c>
      <c r="K29" s="61" t="str">
        <f>IF(OR(K$9&gt;($C29+5),(K$9-$C29)&lt;0),"",_xlfn.XLOOKUP(K$9-$C28,ChurnMatrix!$E$4:$J$4,ChurnMatrix!$E$5:$J$5))</f>
        <v/>
      </c>
      <c r="L29" s="61" t="str">
        <f>IF(OR(L$9&gt;($C29+5),(L$9-$C29)&lt;0),"",_xlfn.XLOOKUP(L$9-$C28,ChurnMatrix!$E$4:$J$4,ChurnMatrix!$E$5:$J$5))</f>
        <v/>
      </c>
      <c r="M29" s="61" t="str">
        <f>IF(OR(M$9&gt;($C29+5),(M$9-$C29)&lt;0),"",_xlfn.XLOOKUP(M$9-$C28,ChurnMatrix!$E$4:$J$4,ChurnMatrix!$E$5:$J$5))</f>
        <v/>
      </c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 spans="3:27" hidden="1" outlineLevel="1" x14ac:dyDescent="0.35">
      <c r="C30" s="57">
        <f t="shared" si="2"/>
        <v>15</v>
      </c>
      <c r="D30" s="61" t="str">
        <f>IF(OR(D$9&gt;($C30+5),(D$9-$C30)&lt;0),"",_xlfn.XLOOKUP(D$9-$C29,ChurnMatrix!$E$4:$J$4,ChurnMatrix!$E$5:$J$5))</f>
        <v/>
      </c>
      <c r="E30" s="61" t="str">
        <f>IF(OR(E$9&gt;($C30+5),(E$9-$C30)&lt;0),"",_xlfn.XLOOKUP(E$9-$C29,ChurnMatrix!$E$4:$J$4,ChurnMatrix!$E$5:$J$5))</f>
        <v/>
      </c>
      <c r="F30" s="61" t="str">
        <f>IF(OR(F$9&gt;($C30+5),(F$9-$C30)&lt;0),"",_xlfn.XLOOKUP(F$9-$C29,ChurnMatrix!$E$4:$J$4,ChurnMatrix!$E$5:$J$5))</f>
        <v/>
      </c>
      <c r="G30" s="61" t="str">
        <f>IF(OR(G$9&gt;($C30+5),(G$9-$C30)&lt;0),"",_xlfn.XLOOKUP(G$9-$C29,ChurnMatrix!$E$4:$J$4,ChurnMatrix!$E$5:$J$5))</f>
        <v/>
      </c>
      <c r="H30" s="61" t="str">
        <f>IF(OR(H$9&gt;($C30+5),(H$9-$C30)&lt;0),"",_xlfn.XLOOKUP(H$9-$C29,ChurnMatrix!$E$4:$J$4,ChurnMatrix!$E$5:$J$5))</f>
        <v/>
      </c>
      <c r="I30" s="61" t="str">
        <f>IF(OR(I$9&gt;($C30+5),(I$9-$C30)&lt;0),"",_xlfn.XLOOKUP(I$9-$C29,ChurnMatrix!$E$4:$J$4,ChurnMatrix!$E$5:$J$5))</f>
        <v/>
      </c>
      <c r="J30" s="61" t="str">
        <f>IF(OR(J$9&gt;($C30+5),(J$9-$C30)&lt;0),"",_xlfn.XLOOKUP(J$9-$C29,ChurnMatrix!$E$4:$J$4,ChurnMatrix!$E$5:$J$5))</f>
        <v/>
      </c>
      <c r="K30" s="61" t="str">
        <f>IF(OR(K$9&gt;($C30+5),(K$9-$C30)&lt;0),"",_xlfn.XLOOKUP(K$9-$C29,ChurnMatrix!$E$4:$J$4,ChurnMatrix!$E$5:$J$5))</f>
        <v/>
      </c>
      <c r="L30" s="61" t="str">
        <f>IF(OR(L$9&gt;($C30+5),(L$9-$C30)&lt;0),"",_xlfn.XLOOKUP(L$9-$C29,ChurnMatrix!$E$4:$J$4,ChurnMatrix!$E$5:$J$5))</f>
        <v/>
      </c>
      <c r="M30" s="61" t="str">
        <f>IF(OR(M$9&gt;($C30+5),(M$9-$C30)&lt;0),"",_xlfn.XLOOKUP(M$9-$C29,ChurnMatrix!$E$4:$J$4,ChurnMatrix!$E$5:$J$5))</f>
        <v/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 spans="3:27" hidden="1" outlineLevel="1" x14ac:dyDescent="0.35">
      <c r="C31" s="57">
        <f t="shared" si="2"/>
        <v>16</v>
      </c>
      <c r="D31" s="61" t="str">
        <f>IF(OR(D$9&gt;($C31+5),(D$9-$C31)&lt;0),"",_xlfn.XLOOKUP(D$9-$C30,ChurnMatrix!$E$4:$J$4,ChurnMatrix!$E$5:$J$5))</f>
        <v/>
      </c>
      <c r="E31" s="61" t="str">
        <f>IF(OR(E$9&gt;($C31+5),(E$9-$C31)&lt;0),"",_xlfn.XLOOKUP(E$9-$C30,ChurnMatrix!$E$4:$J$4,ChurnMatrix!$E$5:$J$5))</f>
        <v/>
      </c>
      <c r="F31" s="61" t="str">
        <f>IF(OR(F$9&gt;($C31+5),(F$9-$C31)&lt;0),"",_xlfn.XLOOKUP(F$9-$C30,ChurnMatrix!$E$4:$J$4,ChurnMatrix!$E$5:$J$5))</f>
        <v/>
      </c>
      <c r="G31" s="61" t="str">
        <f>IF(OR(G$9&gt;($C31+5),(G$9-$C31)&lt;0),"",_xlfn.XLOOKUP(G$9-$C30,ChurnMatrix!$E$4:$J$4,ChurnMatrix!$E$5:$J$5))</f>
        <v/>
      </c>
      <c r="H31" s="61" t="str">
        <f>IF(OR(H$9&gt;($C31+5),(H$9-$C31)&lt;0),"",_xlfn.XLOOKUP(H$9-$C30,ChurnMatrix!$E$4:$J$4,ChurnMatrix!$E$5:$J$5))</f>
        <v/>
      </c>
      <c r="I31" s="61" t="str">
        <f>IF(OR(I$9&gt;($C31+5),(I$9-$C31)&lt;0),"",_xlfn.XLOOKUP(I$9-$C30,ChurnMatrix!$E$4:$J$4,ChurnMatrix!$E$5:$J$5))</f>
        <v/>
      </c>
      <c r="J31" s="61" t="str">
        <f>IF(OR(J$9&gt;($C31+5),(J$9-$C31)&lt;0),"",_xlfn.XLOOKUP(J$9-$C30,ChurnMatrix!$E$4:$J$4,ChurnMatrix!$E$5:$J$5))</f>
        <v/>
      </c>
      <c r="K31" s="61" t="str">
        <f>IF(OR(K$9&gt;($C31+5),(K$9-$C31)&lt;0),"",_xlfn.XLOOKUP(K$9-$C30,ChurnMatrix!$E$4:$J$4,ChurnMatrix!$E$5:$J$5))</f>
        <v/>
      </c>
      <c r="L31" s="61" t="str">
        <f>IF(OR(L$9&gt;($C31+5),(L$9-$C31)&lt;0),"",_xlfn.XLOOKUP(L$9-$C30,ChurnMatrix!$E$4:$J$4,ChurnMatrix!$E$5:$J$5))</f>
        <v/>
      </c>
      <c r="M31" s="61" t="str">
        <f>IF(OR(M$9&gt;($C31+5),(M$9-$C31)&lt;0),"",_xlfn.XLOOKUP(M$9-$C30,ChurnMatrix!$E$4:$J$4,ChurnMatrix!$E$5:$J$5))</f>
        <v/>
      </c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 spans="3:27" hidden="1" outlineLevel="1" x14ac:dyDescent="0.35">
      <c r="C32" s="57">
        <f t="shared" si="2"/>
        <v>17</v>
      </c>
      <c r="D32" s="61" t="str">
        <f>IF(OR(D$9&gt;($C32+5),(D$9-$C32)&lt;0),"",_xlfn.XLOOKUP(D$9-$C31,ChurnMatrix!$E$4:$J$4,ChurnMatrix!$E$5:$J$5))</f>
        <v/>
      </c>
      <c r="E32" s="61" t="str">
        <f>IF(OR(E$9&gt;($C32+5),(E$9-$C32)&lt;0),"",_xlfn.XLOOKUP(E$9-$C31,ChurnMatrix!$E$4:$J$4,ChurnMatrix!$E$5:$J$5))</f>
        <v/>
      </c>
      <c r="F32" s="61" t="str">
        <f>IF(OR(F$9&gt;($C32+5),(F$9-$C32)&lt;0),"",_xlfn.XLOOKUP(F$9-$C31,ChurnMatrix!$E$4:$J$4,ChurnMatrix!$E$5:$J$5))</f>
        <v/>
      </c>
      <c r="G32" s="61" t="str">
        <f>IF(OR(G$9&gt;($C32+5),(G$9-$C32)&lt;0),"",_xlfn.XLOOKUP(G$9-$C31,ChurnMatrix!$E$4:$J$4,ChurnMatrix!$E$5:$J$5))</f>
        <v/>
      </c>
      <c r="H32" s="61" t="str">
        <f>IF(OR(H$9&gt;($C32+5),(H$9-$C32)&lt;0),"",_xlfn.XLOOKUP(H$9-$C31,ChurnMatrix!$E$4:$J$4,ChurnMatrix!$E$5:$J$5))</f>
        <v/>
      </c>
      <c r="I32" s="61" t="str">
        <f>IF(OR(I$9&gt;($C32+5),(I$9-$C32)&lt;0),"",_xlfn.XLOOKUP(I$9-$C31,ChurnMatrix!$E$4:$J$4,ChurnMatrix!$E$5:$J$5))</f>
        <v/>
      </c>
      <c r="J32" s="61" t="str">
        <f>IF(OR(J$9&gt;($C32+5),(J$9-$C32)&lt;0),"",_xlfn.XLOOKUP(J$9-$C31,ChurnMatrix!$E$4:$J$4,ChurnMatrix!$E$5:$J$5))</f>
        <v/>
      </c>
      <c r="K32" s="61" t="str">
        <f>IF(OR(K$9&gt;($C32+5),(K$9-$C32)&lt;0),"",_xlfn.XLOOKUP(K$9-$C31,ChurnMatrix!$E$4:$J$4,ChurnMatrix!$E$5:$J$5))</f>
        <v/>
      </c>
      <c r="L32" s="61" t="str">
        <f>IF(OR(L$9&gt;($C32+5),(L$9-$C32)&lt;0),"",_xlfn.XLOOKUP(L$9-$C31,ChurnMatrix!$E$4:$J$4,ChurnMatrix!$E$5:$J$5))</f>
        <v/>
      </c>
      <c r="M32" s="61" t="str">
        <f>IF(OR(M$9&gt;($C32+5),(M$9-$C32)&lt;0),"",_xlfn.XLOOKUP(M$9-$C31,ChurnMatrix!$E$4:$J$4,ChurnMatrix!$E$5:$J$5))</f>
        <v/>
      </c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 spans="3:27" hidden="1" outlineLevel="1" x14ac:dyDescent="0.35">
      <c r="C33" s="57">
        <f t="shared" si="2"/>
        <v>18</v>
      </c>
      <c r="D33" s="61" t="str">
        <f>IF(OR(D$9&gt;($C33+5),(D$9-$C33)&lt;0),"",_xlfn.XLOOKUP(D$9-$C32,ChurnMatrix!$E$4:$J$4,ChurnMatrix!$E$5:$J$5))</f>
        <v/>
      </c>
      <c r="E33" s="61" t="str">
        <f>IF(OR(E$9&gt;($C33+5),(E$9-$C33)&lt;0),"",_xlfn.XLOOKUP(E$9-$C32,ChurnMatrix!$E$4:$J$4,ChurnMatrix!$E$5:$J$5))</f>
        <v/>
      </c>
      <c r="F33" s="61" t="str">
        <f>IF(OR(F$9&gt;($C33+5),(F$9-$C33)&lt;0),"",_xlfn.XLOOKUP(F$9-$C32,ChurnMatrix!$E$4:$J$4,ChurnMatrix!$E$5:$J$5))</f>
        <v/>
      </c>
      <c r="G33" s="61" t="str">
        <f>IF(OR(G$9&gt;($C33+5),(G$9-$C33)&lt;0),"",_xlfn.XLOOKUP(G$9-$C32,ChurnMatrix!$E$4:$J$4,ChurnMatrix!$E$5:$J$5))</f>
        <v/>
      </c>
      <c r="H33" s="61" t="str">
        <f>IF(OR(H$9&gt;($C33+5),(H$9-$C33)&lt;0),"",_xlfn.XLOOKUP(H$9-$C32,ChurnMatrix!$E$4:$J$4,ChurnMatrix!$E$5:$J$5))</f>
        <v/>
      </c>
      <c r="I33" s="61" t="str">
        <f>IF(OR(I$9&gt;($C33+5),(I$9-$C33)&lt;0),"",_xlfn.XLOOKUP(I$9-$C32,ChurnMatrix!$E$4:$J$4,ChurnMatrix!$E$5:$J$5))</f>
        <v/>
      </c>
      <c r="J33" s="61" t="str">
        <f>IF(OR(J$9&gt;($C33+5),(J$9-$C33)&lt;0),"",_xlfn.XLOOKUP(J$9-$C32,ChurnMatrix!$E$4:$J$4,ChurnMatrix!$E$5:$J$5))</f>
        <v/>
      </c>
      <c r="K33" s="61" t="str">
        <f>IF(OR(K$9&gt;($C33+5),(K$9-$C33)&lt;0),"",_xlfn.XLOOKUP(K$9-$C32,ChurnMatrix!$E$4:$J$4,ChurnMatrix!$E$5:$J$5))</f>
        <v/>
      </c>
      <c r="L33" s="61" t="str">
        <f>IF(OR(L$9&gt;($C33+5),(L$9-$C33)&lt;0),"",_xlfn.XLOOKUP(L$9-$C32,ChurnMatrix!$E$4:$J$4,ChurnMatrix!$E$5:$J$5))</f>
        <v/>
      </c>
      <c r="M33" s="61" t="str">
        <f>IF(OR(M$9&gt;($C33+5),(M$9-$C33)&lt;0),"",_xlfn.XLOOKUP(M$9-$C32,ChurnMatrix!$E$4:$J$4,ChurnMatrix!$E$5:$J$5))</f>
        <v/>
      </c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 spans="3:27" hidden="1" outlineLevel="1" x14ac:dyDescent="0.35">
      <c r="C34" s="57">
        <f t="shared" si="2"/>
        <v>19</v>
      </c>
      <c r="D34" s="61" t="str">
        <f>IF(OR(D$9&gt;($C34+5),(D$9-$C34)&lt;0),"",_xlfn.XLOOKUP(D$9-$C33,ChurnMatrix!$E$4:$J$4,ChurnMatrix!$E$5:$J$5))</f>
        <v/>
      </c>
      <c r="E34" s="61" t="str">
        <f>IF(OR(E$9&gt;($C34+5),(E$9-$C34)&lt;0),"",_xlfn.XLOOKUP(E$9-$C33,ChurnMatrix!$E$4:$J$4,ChurnMatrix!$E$5:$J$5))</f>
        <v/>
      </c>
      <c r="F34" s="61" t="str">
        <f>IF(OR(F$9&gt;($C34+5),(F$9-$C34)&lt;0),"",_xlfn.XLOOKUP(F$9-$C33,ChurnMatrix!$E$4:$J$4,ChurnMatrix!$E$5:$J$5))</f>
        <v/>
      </c>
      <c r="G34" s="61" t="str">
        <f>IF(OR(G$9&gt;($C34+5),(G$9-$C34)&lt;0),"",_xlfn.XLOOKUP(G$9-$C33,ChurnMatrix!$E$4:$J$4,ChurnMatrix!$E$5:$J$5))</f>
        <v/>
      </c>
      <c r="H34" s="61" t="str">
        <f>IF(OR(H$9&gt;($C34+5),(H$9-$C34)&lt;0),"",_xlfn.XLOOKUP(H$9-$C33,ChurnMatrix!$E$4:$J$4,ChurnMatrix!$E$5:$J$5))</f>
        <v/>
      </c>
      <c r="I34" s="61" t="str">
        <f>IF(OR(I$9&gt;($C34+5),(I$9-$C34)&lt;0),"",_xlfn.XLOOKUP(I$9-$C33,ChurnMatrix!$E$4:$J$4,ChurnMatrix!$E$5:$J$5))</f>
        <v/>
      </c>
      <c r="J34" s="61" t="str">
        <f>IF(OR(J$9&gt;($C34+5),(J$9-$C34)&lt;0),"",_xlfn.XLOOKUP(J$9-$C33,ChurnMatrix!$E$4:$J$4,ChurnMatrix!$E$5:$J$5))</f>
        <v/>
      </c>
      <c r="K34" s="61" t="str">
        <f>IF(OR(K$9&gt;($C34+5),(K$9-$C34)&lt;0),"",_xlfn.XLOOKUP(K$9-$C33,ChurnMatrix!$E$4:$J$4,ChurnMatrix!$E$5:$J$5))</f>
        <v/>
      </c>
      <c r="L34" s="61" t="str">
        <f>IF(OR(L$9&gt;($C34+5),(L$9-$C34)&lt;0),"",_xlfn.XLOOKUP(L$9-$C33,ChurnMatrix!$E$4:$J$4,ChurnMatrix!$E$5:$J$5))</f>
        <v/>
      </c>
      <c r="M34" s="61" t="str">
        <f>IF(OR(M$9&gt;($C34+5),(M$9-$C34)&lt;0),"",_xlfn.XLOOKUP(M$9-$C33,ChurnMatrix!$E$4:$J$4,ChurnMatrix!$E$5:$J$5))</f>
        <v/>
      </c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 spans="3:27" hidden="1" outlineLevel="1" x14ac:dyDescent="0.35">
      <c r="C35" s="57">
        <f t="shared" si="2"/>
        <v>20</v>
      </c>
      <c r="D35" s="61" t="str">
        <f>IF(OR(D$9&gt;($C35+5),(D$9-$C35)&lt;0),"",_xlfn.XLOOKUP(D$9-$C34,ChurnMatrix!$E$4:$J$4,ChurnMatrix!$E$5:$J$5))</f>
        <v/>
      </c>
      <c r="E35" s="61" t="str">
        <f>IF(OR(E$9&gt;($C35+5),(E$9-$C35)&lt;0),"",_xlfn.XLOOKUP(E$9-$C34,ChurnMatrix!$E$4:$J$4,ChurnMatrix!$E$5:$J$5))</f>
        <v/>
      </c>
      <c r="F35" s="61" t="str">
        <f>IF(OR(F$9&gt;($C35+5),(F$9-$C35)&lt;0),"",_xlfn.XLOOKUP(F$9-$C34,ChurnMatrix!$E$4:$J$4,ChurnMatrix!$E$5:$J$5))</f>
        <v/>
      </c>
      <c r="G35" s="61" t="str">
        <f>IF(OR(G$9&gt;($C35+5),(G$9-$C35)&lt;0),"",_xlfn.XLOOKUP(G$9-$C34,ChurnMatrix!$E$4:$J$4,ChurnMatrix!$E$5:$J$5))</f>
        <v/>
      </c>
      <c r="H35" s="61" t="str">
        <f>IF(OR(H$9&gt;($C35+5),(H$9-$C35)&lt;0),"",_xlfn.XLOOKUP(H$9-$C34,ChurnMatrix!$E$4:$J$4,ChurnMatrix!$E$5:$J$5))</f>
        <v/>
      </c>
      <c r="I35" s="61" t="str">
        <f>IF(OR(I$9&gt;($C35+5),(I$9-$C35)&lt;0),"",_xlfn.XLOOKUP(I$9-$C34,ChurnMatrix!$E$4:$J$4,ChurnMatrix!$E$5:$J$5))</f>
        <v/>
      </c>
      <c r="J35" s="61" t="str">
        <f>IF(OR(J$9&gt;($C35+5),(J$9-$C35)&lt;0),"",_xlfn.XLOOKUP(J$9-$C34,ChurnMatrix!$E$4:$J$4,ChurnMatrix!$E$5:$J$5))</f>
        <v/>
      </c>
      <c r="K35" s="61" t="str">
        <f>IF(OR(K$9&gt;($C35+5),(K$9-$C35)&lt;0),"",_xlfn.XLOOKUP(K$9-$C34,ChurnMatrix!$E$4:$J$4,ChurnMatrix!$E$5:$J$5))</f>
        <v/>
      </c>
      <c r="L35" s="61" t="str">
        <f>IF(OR(L$9&gt;($C35+5),(L$9-$C35)&lt;0),"",_xlfn.XLOOKUP(L$9-$C34,ChurnMatrix!$E$4:$J$4,ChurnMatrix!$E$5:$J$5))</f>
        <v/>
      </c>
      <c r="M35" s="61" t="str">
        <f>IF(OR(M$9&gt;($C35+5),(M$9-$C35)&lt;0),"",_xlfn.XLOOKUP(M$9-$C34,ChurnMatrix!$E$4:$J$4,ChurnMatrix!$E$5:$J$5))</f>
        <v/>
      </c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 spans="3:27" hidden="1" outlineLevel="1" x14ac:dyDescent="0.35">
      <c r="C36" s="57">
        <f t="shared" si="2"/>
        <v>21</v>
      </c>
      <c r="D36" s="61" t="str">
        <f>IF(OR(D$9&gt;($C36+5),(D$9-$C36)&lt;0),"",_xlfn.XLOOKUP(D$9-$C35,ChurnMatrix!$E$4:$J$4,ChurnMatrix!$E$5:$J$5))</f>
        <v/>
      </c>
      <c r="E36" s="61" t="str">
        <f>IF(OR(E$9&gt;($C36+5),(E$9-$C36)&lt;0),"",_xlfn.XLOOKUP(E$9-$C35,ChurnMatrix!$E$4:$J$4,ChurnMatrix!$E$5:$J$5))</f>
        <v/>
      </c>
      <c r="F36" s="61" t="str">
        <f>IF(OR(F$9&gt;($C36+5),(F$9-$C36)&lt;0),"",_xlfn.XLOOKUP(F$9-$C35,ChurnMatrix!$E$4:$J$4,ChurnMatrix!$E$5:$J$5))</f>
        <v/>
      </c>
      <c r="G36" s="61" t="str">
        <f>IF(OR(G$9&gt;($C36+5),(G$9-$C36)&lt;0),"",_xlfn.XLOOKUP(G$9-$C35,ChurnMatrix!$E$4:$J$4,ChurnMatrix!$E$5:$J$5))</f>
        <v/>
      </c>
      <c r="H36" s="61" t="str">
        <f>IF(OR(H$9&gt;($C36+5),(H$9-$C36)&lt;0),"",_xlfn.XLOOKUP(H$9-$C35,ChurnMatrix!$E$4:$J$4,ChurnMatrix!$E$5:$J$5))</f>
        <v/>
      </c>
      <c r="I36" s="61" t="str">
        <f>IF(OR(I$9&gt;($C36+5),(I$9-$C36)&lt;0),"",_xlfn.XLOOKUP(I$9-$C35,ChurnMatrix!$E$4:$J$4,ChurnMatrix!$E$5:$J$5))</f>
        <v/>
      </c>
      <c r="J36" s="61" t="str">
        <f>IF(OR(J$9&gt;($C36+5),(J$9-$C36)&lt;0),"",_xlfn.XLOOKUP(J$9-$C35,ChurnMatrix!$E$4:$J$4,ChurnMatrix!$E$5:$J$5))</f>
        <v/>
      </c>
      <c r="K36" s="61" t="str">
        <f>IF(OR(K$9&gt;($C36+5),(K$9-$C36)&lt;0),"",_xlfn.XLOOKUP(K$9-$C35,ChurnMatrix!$E$4:$J$4,ChurnMatrix!$E$5:$J$5))</f>
        <v/>
      </c>
      <c r="L36" s="61" t="str">
        <f>IF(OR(L$9&gt;($C36+5),(L$9-$C36)&lt;0),"",_xlfn.XLOOKUP(L$9-$C35,ChurnMatrix!$E$4:$J$4,ChurnMatrix!$E$5:$J$5))</f>
        <v/>
      </c>
      <c r="M36" s="61" t="str">
        <f>IF(OR(M$9&gt;($C36+5),(M$9-$C36)&lt;0),"",_xlfn.XLOOKUP(M$9-$C35,ChurnMatrix!$E$4:$J$4,ChurnMatrix!$E$5:$J$5))</f>
        <v/>
      </c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</row>
    <row r="37" spans="3:27" hidden="1" outlineLevel="1" x14ac:dyDescent="0.35">
      <c r="C37" s="57">
        <f t="shared" si="2"/>
        <v>22</v>
      </c>
      <c r="D37" s="61" t="str">
        <f>IF(OR(D$9&gt;($C37+5),(D$9-$C37)&lt;0),"",_xlfn.XLOOKUP(D$9-$C36,ChurnMatrix!$E$4:$J$4,ChurnMatrix!$E$5:$J$5))</f>
        <v/>
      </c>
      <c r="E37" s="61" t="str">
        <f>IF(OR(E$9&gt;($C37+5),(E$9-$C37)&lt;0),"",_xlfn.XLOOKUP(E$9-$C36,ChurnMatrix!$E$4:$J$4,ChurnMatrix!$E$5:$J$5))</f>
        <v/>
      </c>
      <c r="F37" s="61" t="str">
        <f>IF(OR(F$9&gt;($C37+5),(F$9-$C37)&lt;0),"",_xlfn.XLOOKUP(F$9-$C36,ChurnMatrix!$E$4:$J$4,ChurnMatrix!$E$5:$J$5))</f>
        <v/>
      </c>
      <c r="G37" s="61" t="str">
        <f>IF(OR(G$9&gt;($C37+5),(G$9-$C37)&lt;0),"",_xlfn.XLOOKUP(G$9-$C36,ChurnMatrix!$E$4:$J$4,ChurnMatrix!$E$5:$J$5))</f>
        <v/>
      </c>
      <c r="H37" s="61" t="str">
        <f>IF(OR(H$9&gt;($C37+5),(H$9-$C37)&lt;0),"",_xlfn.XLOOKUP(H$9-$C36,ChurnMatrix!$E$4:$J$4,ChurnMatrix!$E$5:$J$5))</f>
        <v/>
      </c>
      <c r="I37" s="61" t="str">
        <f>IF(OR(I$9&gt;($C37+5),(I$9-$C37)&lt;0),"",_xlfn.XLOOKUP(I$9-$C36,ChurnMatrix!$E$4:$J$4,ChurnMatrix!$E$5:$J$5))</f>
        <v/>
      </c>
      <c r="J37" s="61" t="str">
        <f>IF(OR(J$9&gt;($C37+5),(J$9-$C37)&lt;0),"",_xlfn.XLOOKUP(J$9-$C36,ChurnMatrix!$E$4:$J$4,ChurnMatrix!$E$5:$J$5))</f>
        <v/>
      </c>
      <c r="K37" s="61" t="str">
        <f>IF(OR(K$9&gt;($C37+5),(K$9-$C37)&lt;0),"",_xlfn.XLOOKUP(K$9-$C36,ChurnMatrix!$E$4:$J$4,ChurnMatrix!$E$5:$J$5))</f>
        <v/>
      </c>
      <c r="L37" s="61" t="str">
        <f>IF(OR(L$9&gt;($C37+5),(L$9-$C37)&lt;0),"",_xlfn.XLOOKUP(L$9-$C36,ChurnMatrix!$E$4:$J$4,ChurnMatrix!$E$5:$J$5))</f>
        <v/>
      </c>
      <c r="M37" s="61" t="str">
        <f>IF(OR(M$9&gt;($C37+5),(M$9-$C37)&lt;0),"",_xlfn.XLOOKUP(M$9-$C36,ChurnMatrix!$E$4:$J$4,ChurnMatrix!$E$5:$J$5))</f>
        <v/>
      </c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 spans="3:27" hidden="1" outlineLevel="1" x14ac:dyDescent="0.35">
      <c r="C38" s="57">
        <f t="shared" si="2"/>
        <v>23</v>
      </c>
      <c r="D38" s="61" t="str">
        <f>IF(OR(D$9&gt;($C38+5),(D$9-$C38)&lt;0),"",_xlfn.XLOOKUP(D$9-$C37,ChurnMatrix!$E$4:$J$4,ChurnMatrix!$E$5:$J$5))</f>
        <v/>
      </c>
      <c r="E38" s="61" t="str">
        <f>IF(OR(E$9&gt;($C38+5),(E$9-$C38)&lt;0),"",_xlfn.XLOOKUP(E$9-$C37,ChurnMatrix!$E$4:$J$4,ChurnMatrix!$E$5:$J$5))</f>
        <v/>
      </c>
      <c r="F38" s="61" t="str">
        <f>IF(OR(F$9&gt;($C38+5),(F$9-$C38)&lt;0),"",_xlfn.XLOOKUP(F$9-$C37,ChurnMatrix!$E$4:$J$4,ChurnMatrix!$E$5:$J$5))</f>
        <v/>
      </c>
      <c r="G38" s="61" t="str">
        <f>IF(OR(G$9&gt;($C38+5),(G$9-$C38)&lt;0),"",_xlfn.XLOOKUP(G$9-$C37,ChurnMatrix!$E$4:$J$4,ChurnMatrix!$E$5:$J$5))</f>
        <v/>
      </c>
      <c r="H38" s="61" t="str">
        <f>IF(OR(H$9&gt;($C38+5),(H$9-$C38)&lt;0),"",_xlfn.XLOOKUP(H$9-$C37,ChurnMatrix!$E$4:$J$4,ChurnMatrix!$E$5:$J$5))</f>
        <v/>
      </c>
      <c r="I38" s="61" t="str">
        <f>IF(OR(I$9&gt;($C38+5),(I$9-$C38)&lt;0),"",_xlfn.XLOOKUP(I$9-$C37,ChurnMatrix!$E$4:$J$4,ChurnMatrix!$E$5:$J$5))</f>
        <v/>
      </c>
      <c r="J38" s="61" t="str">
        <f>IF(OR(J$9&gt;($C38+5),(J$9-$C38)&lt;0),"",_xlfn.XLOOKUP(J$9-$C37,ChurnMatrix!$E$4:$J$4,ChurnMatrix!$E$5:$J$5))</f>
        <v/>
      </c>
      <c r="K38" s="61" t="str">
        <f>IF(OR(K$9&gt;($C38+5),(K$9-$C38)&lt;0),"",_xlfn.XLOOKUP(K$9-$C37,ChurnMatrix!$E$4:$J$4,ChurnMatrix!$E$5:$J$5))</f>
        <v/>
      </c>
      <c r="L38" s="61" t="str">
        <f>IF(OR(L$9&gt;($C38+5),(L$9-$C38)&lt;0),"",_xlfn.XLOOKUP(L$9-$C37,ChurnMatrix!$E$4:$J$4,ChurnMatrix!$E$5:$J$5))</f>
        <v/>
      </c>
      <c r="M38" s="61" t="str">
        <f>IF(OR(M$9&gt;($C38+5),(M$9-$C38)&lt;0),"",_xlfn.XLOOKUP(M$9-$C37,ChurnMatrix!$E$4:$J$4,ChurnMatrix!$E$5:$J$5))</f>
        <v/>
      </c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</row>
    <row r="39" spans="3:27" hidden="1" outlineLevel="1" x14ac:dyDescent="0.35">
      <c r="C39" s="57">
        <f t="shared" si="2"/>
        <v>24</v>
      </c>
      <c r="D39" s="61" t="str">
        <f>IF(OR(D$9&gt;($C39+5),(D$9-$C39)&lt;0),"",_xlfn.XLOOKUP(D$9-$C38,ChurnMatrix!$E$4:$J$4,ChurnMatrix!$E$5:$J$5))</f>
        <v/>
      </c>
      <c r="E39" s="61" t="str">
        <f>IF(OR(E$9&gt;($C39+5),(E$9-$C39)&lt;0),"",_xlfn.XLOOKUP(E$9-$C38,ChurnMatrix!$E$4:$J$4,ChurnMatrix!$E$5:$J$5))</f>
        <v/>
      </c>
      <c r="F39" s="61" t="str">
        <f>IF(OR(F$9&gt;($C39+5),(F$9-$C39)&lt;0),"",_xlfn.XLOOKUP(F$9-$C38,ChurnMatrix!$E$4:$J$4,ChurnMatrix!$E$5:$J$5))</f>
        <v/>
      </c>
      <c r="G39" s="61" t="str">
        <f>IF(OR(G$9&gt;($C39+5),(G$9-$C39)&lt;0),"",_xlfn.XLOOKUP(G$9-$C38,ChurnMatrix!$E$4:$J$4,ChurnMatrix!$E$5:$J$5))</f>
        <v/>
      </c>
      <c r="H39" s="61" t="str">
        <f>IF(OR(H$9&gt;($C39+5),(H$9-$C39)&lt;0),"",_xlfn.XLOOKUP(H$9-$C38,ChurnMatrix!$E$4:$J$4,ChurnMatrix!$E$5:$J$5))</f>
        <v/>
      </c>
      <c r="I39" s="61" t="str">
        <f>IF(OR(I$9&gt;($C39+5),(I$9-$C39)&lt;0),"",_xlfn.XLOOKUP(I$9-$C38,ChurnMatrix!$E$4:$J$4,ChurnMatrix!$E$5:$J$5))</f>
        <v/>
      </c>
      <c r="J39" s="61" t="str">
        <f>IF(OR(J$9&gt;($C39+5),(J$9-$C39)&lt;0),"",_xlfn.XLOOKUP(J$9-$C38,ChurnMatrix!$E$4:$J$4,ChurnMatrix!$E$5:$J$5))</f>
        <v/>
      </c>
      <c r="K39" s="61" t="str">
        <f>IF(OR(K$9&gt;($C39+5),(K$9-$C39)&lt;0),"",_xlfn.XLOOKUP(K$9-$C38,ChurnMatrix!$E$4:$J$4,ChurnMatrix!$E$5:$J$5))</f>
        <v/>
      </c>
      <c r="L39" s="61" t="str">
        <f>IF(OR(L$9&gt;($C39+5),(L$9-$C39)&lt;0),"",_xlfn.XLOOKUP(L$9-$C38,ChurnMatrix!$E$4:$J$4,ChurnMatrix!$E$5:$J$5))</f>
        <v/>
      </c>
      <c r="M39" s="61" t="str">
        <f>IF(OR(M$9&gt;($C39+5),(M$9-$C39)&lt;0),"",_xlfn.XLOOKUP(M$9-$C38,ChurnMatrix!$E$4:$J$4,ChurnMatrix!$E$5:$J$5))</f>
        <v/>
      </c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 spans="3:27" hidden="1" outlineLevel="1" x14ac:dyDescent="0.35">
      <c r="C40" s="57"/>
    </row>
    <row r="41" spans="3:27" hidden="1" outlineLevel="1" x14ac:dyDescent="0.35">
      <c r="C41" s="57"/>
    </row>
    <row r="42" spans="3:27" hidden="1" outlineLevel="1" x14ac:dyDescent="0.35">
      <c r="C42" s="57"/>
    </row>
    <row r="43" spans="3:27" hidden="1" outlineLevel="1" x14ac:dyDescent="0.35">
      <c r="C43" s="57"/>
    </row>
    <row r="44" spans="3:27" ht="15.5" hidden="1" outlineLevel="1" x14ac:dyDescent="0.35">
      <c r="C44" s="60" t="s">
        <v>81</v>
      </c>
    </row>
    <row r="45" spans="3:27" hidden="1" outlineLevel="1" x14ac:dyDescent="0.35">
      <c r="C45" s="57">
        <v>1</v>
      </c>
      <c r="D45" s="62">
        <f t="shared" ref="D45:M45" si="3">IFERROR(IF(D$9&lt;($C45+6),HLOOKUP($C45,$D$9:$AA$11,3,FALSE)*D16,C45),"")</f>
        <v>728.00000000000011</v>
      </c>
      <c r="E45" s="62">
        <f t="shared" si="3"/>
        <v>325</v>
      </c>
      <c r="F45" s="62">
        <f t="shared" si="3"/>
        <v>325</v>
      </c>
      <c r="G45" s="62">
        <f t="shared" si="3"/>
        <v>299</v>
      </c>
      <c r="H45" s="62">
        <f t="shared" si="3"/>
        <v>143</v>
      </c>
      <c r="I45" s="62">
        <f t="shared" si="3"/>
        <v>143</v>
      </c>
      <c r="J45" s="62">
        <f t="shared" si="3"/>
        <v>143</v>
      </c>
      <c r="K45" s="62">
        <f t="shared" si="3"/>
        <v>143</v>
      </c>
      <c r="L45" s="62">
        <f t="shared" si="3"/>
        <v>143</v>
      </c>
      <c r="M45" s="62">
        <f t="shared" si="3"/>
        <v>143</v>
      </c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 spans="3:27" hidden="1" outlineLevel="1" x14ac:dyDescent="0.35">
      <c r="C46" s="57">
        <f t="shared" ref="C46:C68" si="4">C45+1</f>
        <v>2</v>
      </c>
      <c r="D46" s="62" t="str">
        <f t="shared" ref="D46:M46" si="5">IFERROR(IF(D$9&lt;($C46+6),HLOOKUP($C46,$D$9:$AA$11,3,FALSE)*D17,C46),"")</f>
        <v/>
      </c>
      <c r="E46" s="62">
        <f t="shared" si="5"/>
        <v>1120</v>
      </c>
      <c r="F46" s="62">
        <f t="shared" si="5"/>
        <v>500</v>
      </c>
      <c r="G46" s="62">
        <f t="shared" si="5"/>
        <v>500</v>
      </c>
      <c r="H46" s="62">
        <f t="shared" si="5"/>
        <v>460</v>
      </c>
      <c r="I46" s="62">
        <f t="shared" si="5"/>
        <v>220</v>
      </c>
      <c r="J46" s="62">
        <f t="shared" si="5"/>
        <v>220</v>
      </c>
      <c r="K46" s="62">
        <f t="shared" si="5"/>
        <v>220</v>
      </c>
      <c r="L46" s="62">
        <f t="shared" si="5"/>
        <v>220</v>
      </c>
      <c r="M46" s="62">
        <f t="shared" si="5"/>
        <v>220</v>
      </c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</row>
    <row r="47" spans="3:27" hidden="1" outlineLevel="1" x14ac:dyDescent="0.35">
      <c r="C47" s="57">
        <f t="shared" si="4"/>
        <v>3</v>
      </c>
      <c r="D47" s="62" t="str">
        <f t="shared" ref="D47:M47" si="6">IFERROR(IF(D$9&lt;($C47+6),HLOOKUP($C47,$D$9:$AA$11,3,FALSE)*D18,C47),"")</f>
        <v/>
      </c>
      <c r="E47" s="62" t="str">
        <f t="shared" si="6"/>
        <v/>
      </c>
      <c r="F47" s="62">
        <f t="shared" si="6"/>
        <v>1848.0000000000002</v>
      </c>
      <c r="G47" s="62">
        <f t="shared" si="6"/>
        <v>825</v>
      </c>
      <c r="H47" s="62">
        <f t="shared" si="6"/>
        <v>825</v>
      </c>
      <c r="I47" s="62">
        <f t="shared" si="6"/>
        <v>759</v>
      </c>
      <c r="J47" s="62">
        <f t="shared" si="6"/>
        <v>363</v>
      </c>
      <c r="K47" s="62">
        <f t="shared" si="6"/>
        <v>363</v>
      </c>
      <c r="L47" s="62">
        <f t="shared" si="6"/>
        <v>363</v>
      </c>
      <c r="M47" s="62">
        <f t="shared" si="6"/>
        <v>363</v>
      </c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</row>
    <row r="48" spans="3:27" hidden="1" outlineLevel="1" x14ac:dyDescent="0.35">
      <c r="C48" s="57">
        <f t="shared" si="4"/>
        <v>4</v>
      </c>
      <c r="D48" s="62" t="str">
        <f t="shared" ref="D48:M48" si="7">IFERROR(IF(D$9&lt;($C48+6),HLOOKUP($C48,$D$9:$AA$11,3,FALSE)*D19,C48),"")</f>
        <v/>
      </c>
      <c r="E48" s="62" t="str">
        <f t="shared" si="7"/>
        <v/>
      </c>
      <c r="F48" s="62" t="str">
        <f t="shared" si="7"/>
        <v/>
      </c>
      <c r="G48" s="62">
        <f t="shared" si="7"/>
        <v>1940.4</v>
      </c>
      <c r="H48" s="62">
        <f t="shared" si="7"/>
        <v>866.25</v>
      </c>
      <c r="I48" s="62">
        <f t="shared" si="7"/>
        <v>866.25</v>
      </c>
      <c r="J48" s="62">
        <f t="shared" si="7"/>
        <v>796.95</v>
      </c>
      <c r="K48" s="62">
        <f t="shared" si="7"/>
        <v>381.15</v>
      </c>
      <c r="L48" s="62">
        <f t="shared" si="7"/>
        <v>381.15</v>
      </c>
      <c r="M48" s="62">
        <f t="shared" si="7"/>
        <v>381.15</v>
      </c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</row>
    <row r="49" spans="3:27" hidden="1" outlineLevel="1" x14ac:dyDescent="0.35">
      <c r="C49" s="57">
        <f t="shared" si="4"/>
        <v>5</v>
      </c>
      <c r="D49" s="62" t="str">
        <f t="shared" ref="D49:M49" si="8">IFERROR(IF(D$9&lt;($C49+6),HLOOKUP($C49,$D$9:$AA$11,3,FALSE)*D20,C49),"")</f>
        <v/>
      </c>
      <c r="E49" s="62" t="str">
        <f t="shared" si="8"/>
        <v/>
      </c>
      <c r="F49" s="62" t="str">
        <f t="shared" si="8"/>
        <v/>
      </c>
      <c r="G49" s="62" t="str">
        <f t="shared" si="8"/>
        <v/>
      </c>
      <c r="H49" s="62">
        <f t="shared" si="8"/>
        <v>2037.4200000000003</v>
      </c>
      <c r="I49" s="62">
        <f t="shared" si="8"/>
        <v>909.5625</v>
      </c>
      <c r="J49" s="62">
        <f t="shared" si="8"/>
        <v>909.5625</v>
      </c>
      <c r="K49" s="62">
        <f t="shared" si="8"/>
        <v>836.79750000000001</v>
      </c>
      <c r="L49" s="62">
        <f t="shared" si="8"/>
        <v>400.20749999999998</v>
      </c>
      <c r="M49" s="62">
        <f t="shared" si="8"/>
        <v>400.20749999999998</v>
      </c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</row>
    <row r="50" spans="3:27" hidden="1" outlineLevel="1" x14ac:dyDescent="0.35">
      <c r="C50" s="57">
        <f t="shared" si="4"/>
        <v>6</v>
      </c>
      <c r="D50" s="62" t="str">
        <f t="shared" ref="D50:M50" si="9">IFERROR(IF(D$9&lt;($C50+6),HLOOKUP($C50,$D$9:$AA$11,3,FALSE)*D21,C50),"")</f>
        <v/>
      </c>
      <c r="E50" s="62" t="str">
        <f t="shared" si="9"/>
        <v/>
      </c>
      <c r="F50" s="62" t="str">
        <f t="shared" si="9"/>
        <v/>
      </c>
      <c r="G50" s="62" t="str">
        <f t="shared" si="9"/>
        <v/>
      </c>
      <c r="H50" s="62" t="str">
        <f t="shared" si="9"/>
        <v/>
      </c>
      <c r="I50" s="62">
        <f t="shared" si="9"/>
        <v>2139.2910000000002</v>
      </c>
      <c r="J50" s="62">
        <f t="shared" si="9"/>
        <v>955.04062499999998</v>
      </c>
      <c r="K50" s="62">
        <f t="shared" si="9"/>
        <v>955.04062499999998</v>
      </c>
      <c r="L50" s="62">
        <f t="shared" si="9"/>
        <v>878.63737500000002</v>
      </c>
      <c r="M50" s="62">
        <f t="shared" si="9"/>
        <v>420.21787499999999</v>
      </c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</row>
    <row r="51" spans="3:27" hidden="1" outlineLevel="1" x14ac:dyDescent="0.35">
      <c r="C51" s="57">
        <f t="shared" si="4"/>
        <v>7</v>
      </c>
      <c r="D51" s="62" t="str">
        <f t="shared" ref="D51:M51" si="10">IFERROR(IF(D$9&lt;($C51+6),HLOOKUP($C51,$D$9:$AA$11,3,FALSE)*D22,C51),"")</f>
        <v/>
      </c>
      <c r="E51" s="62" t="str">
        <f t="shared" si="10"/>
        <v/>
      </c>
      <c r="F51" s="62" t="str">
        <f t="shared" si="10"/>
        <v/>
      </c>
      <c r="G51" s="62" t="str">
        <f t="shared" si="10"/>
        <v/>
      </c>
      <c r="H51" s="62" t="str">
        <f t="shared" si="10"/>
        <v/>
      </c>
      <c r="I51" s="62" t="str">
        <f t="shared" si="10"/>
        <v/>
      </c>
      <c r="J51" s="62">
        <f t="shared" si="10"/>
        <v>2246.2555500000003</v>
      </c>
      <c r="K51" s="62">
        <f t="shared" si="10"/>
        <v>1002.7926562500001</v>
      </c>
      <c r="L51" s="62">
        <f t="shared" si="10"/>
        <v>1002.7926562500001</v>
      </c>
      <c r="M51" s="62">
        <f t="shared" si="10"/>
        <v>922.56924375000006</v>
      </c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spans="3:27" hidden="1" outlineLevel="1" x14ac:dyDescent="0.35">
      <c r="C52" s="57">
        <f t="shared" si="4"/>
        <v>8</v>
      </c>
      <c r="D52" s="62" t="str">
        <f t="shared" ref="D52:M52" si="11">IFERROR(IF(D$9&lt;($C52+6),HLOOKUP($C52,$D$9:$AA$11,3,FALSE)*D23,C52),"")</f>
        <v/>
      </c>
      <c r="E52" s="62" t="str">
        <f t="shared" si="11"/>
        <v/>
      </c>
      <c r="F52" s="62" t="str">
        <f t="shared" si="11"/>
        <v/>
      </c>
      <c r="G52" s="62" t="str">
        <f t="shared" si="11"/>
        <v/>
      </c>
      <c r="H52" s="62" t="str">
        <f t="shared" si="11"/>
        <v/>
      </c>
      <c r="I52" s="62" t="str">
        <f t="shared" si="11"/>
        <v/>
      </c>
      <c r="J52" s="62" t="str">
        <f t="shared" si="11"/>
        <v/>
      </c>
      <c r="K52" s="62">
        <f t="shared" si="11"/>
        <v>2358.5683275000006</v>
      </c>
      <c r="L52" s="62">
        <f t="shared" si="11"/>
        <v>1052.9322890625001</v>
      </c>
      <c r="M52" s="62">
        <f t="shared" si="11"/>
        <v>1052.9322890625001</v>
      </c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 spans="3:27" hidden="1" outlineLevel="1" x14ac:dyDescent="0.35">
      <c r="C53" s="57">
        <f t="shared" si="4"/>
        <v>9</v>
      </c>
      <c r="D53" s="62" t="str">
        <f t="shared" ref="D53:M53" si="12">IFERROR(IF(D$9&lt;($C53+6),HLOOKUP($C53,$D$9:$AA$11,3,FALSE)*D24,C53),"")</f>
        <v/>
      </c>
      <c r="E53" s="62" t="str">
        <f t="shared" si="12"/>
        <v/>
      </c>
      <c r="F53" s="62" t="str">
        <f t="shared" si="12"/>
        <v/>
      </c>
      <c r="G53" s="62" t="str">
        <f t="shared" si="12"/>
        <v/>
      </c>
      <c r="H53" s="62" t="str">
        <f t="shared" si="12"/>
        <v/>
      </c>
      <c r="I53" s="62" t="str">
        <f t="shared" si="12"/>
        <v/>
      </c>
      <c r="J53" s="62" t="str">
        <f t="shared" si="12"/>
        <v/>
      </c>
      <c r="K53" s="62" t="str">
        <f t="shared" si="12"/>
        <v/>
      </c>
      <c r="L53" s="62">
        <f t="shared" si="12"/>
        <v>2476.4967438750004</v>
      </c>
      <c r="M53" s="62">
        <f t="shared" si="12"/>
        <v>1105.5789035156251</v>
      </c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</row>
    <row r="54" spans="3:27" hidden="1" outlineLevel="1" x14ac:dyDescent="0.35">
      <c r="C54" s="57">
        <f t="shared" si="4"/>
        <v>10</v>
      </c>
      <c r="D54" s="62" t="str">
        <f t="shared" ref="D54:M54" si="13">IFERROR(IF(D$9&lt;($C54+6),HLOOKUP($C54,$D$9:$AA$11,3,FALSE)*D25,C54),"")</f>
        <v/>
      </c>
      <c r="E54" s="62" t="str">
        <f t="shared" si="13"/>
        <v/>
      </c>
      <c r="F54" s="62" t="str">
        <f t="shared" si="13"/>
        <v/>
      </c>
      <c r="G54" s="62" t="str">
        <f t="shared" si="13"/>
        <v/>
      </c>
      <c r="H54" s="62" t="str">
        <f t="shared" si="13"/>
        <v/>
      </c>
      <c r="I54" s="62" t="str">
        <f t="shared" si="13"/>
        <v/>
      </c>
      <c r="J54" s="62" t="str">
        <f t="shared" si="13"/>
        <v/>
      </c>
      <c r="K54" s="62" t="str">
        <f t="shared" si="13"/>
        <v/>
      </c>
      <c r="L54" s="62" t="str">
        <f t="shared" si="13"/>
        <v/>
      </c>
      <c r="M54" s="62">
        <f t="shared" si="13"/>
        <v>2600.3215810687511</v>
      </c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3:27" hidden="1" outlineLevel="1" x14ac:dyDescent="0.35">
      <c r="C55" s="57">
        <f t="shared" si="4"/>
        <v>11</v>
      </c>
      <c r="D55" s="62" t="str">
        <f t="shared" ref="D55:M55" si="14">IFERROR(IF(D$9&lt;($C55+6),HLOOKUP($C55,$D$9:$AA$11,3,FALSE)*D26,C55),"")</f>
        <v/>
      </c>
      <c r="E55" s="62" t="str">
        <f t="shared" si="14"/>
        <v/>
      </c>
      <c r="F55" s="62" t="str">
        <f t="shared" si="14"/>
        <v/>
      </c>
      <c r="G55" s="62" t="str">
        <f t="shared" si="14"/>
        <v/>
      </c>
      <c r="H55" s="62" t="str">
        <f t="shared" si="14"/>
        <v/>
      </c>
      <c r="I55" s="62" t="str">
        <f t="shared" si="14"/>
        <v/>
      </c>
      <c r="J55" s="62" t="str">
        <f t="shared" si="14"/>
        <v/>
      </c>
      <c r="K55" s="62" t="str">
        <f t="shared" si="14"/>
        <v/>
      </c>
      <c r="L55" s="62" t="str">
        <f t="shared" si="14"/>
        <v/>
      </c>
      <c r="M55" s="62" t="str">
        <f t="shared" si="14"/>
        <v/>
      </c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3:27" hidden="1" outlineLevel="1" x14ac:dyDescent="0.35">
      <c r="C56" s="57">
        <f t="shared" si="4"/>
        <v>12</v>
      </c>
      <c r="D56" s="62" t="str">
        <f t="shared" ref="D56:M56" si="15">IFERROR(IF(D$9&lt;($C56+6),HLOOKUP($C56,$D$9:$AA$11,3,FALSE)*D27,C56),"")</f>
        <v/>
      </c>
      <c r="E56" s="62" t="str">
        <f t="shared" si="15"/>
        <v/>
      </c>
      <c r="F56" s="62" t="str">
        <f t="shared" si="15"/>
        <v/>
      </c>
      <c r="G56" s="62" t="str">
        <f t="shared" si="15"/>
        <v/>
      </c>
      <c r="H56" s="62" t="str">
        <f t="shared" si="15"/>
        <v/>
      </c>
      <c r="I56" s="62" t="str">
        <f t="shared" si="15"/>
        <v/>
      </c>
      <c r="J56" s="62" t="str">
        <f t="shared" si="15"/>
        <v/>
      </c>
      <c r="K56" s="62" t="str">
        <f t="shared" si="15"/>
        <v/>
      </c>
      <c r="L56" s="62" t="str">
        <f t="shared" si="15"/>
        <v/>
      </c>
      <c r="M56" s="62" t="str">
        <f t="shared" si="15"/>
        <v/>
      </c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</row>
    <row r="57" spans="3:27" hidden="1" outlineLevel="1" x14ac:dyDescent="0.35">
      <c r="C57" s="57">
        <f t="shared" si="4"/>
        <v>13</v>
      </c>
      <c r="D57" s="62" t="str">
        <f t="shared" ref="D57:M57" si="16">IFERROR(IF(D$9&lt;($C57+6),HLOOKUP($C57,$D$9:$AA$11,3,FALSE)*D28,C57),"")</f>
        <v/>
      </c>
      <c r="E57" s="62" t="str">
        <f t="shared" si="16"/>
        <v/>
      </c>
      <c r="F57" s="62" t="str">
        <f t="shared" si="16"/>
        <v/>
      </c>
      <c r="G57" s="62" t="str">
        <f t="shared" si="16"/>
        <v/>
      </c>
      <c r="H57" s="62" t="str">
        <f t="shared" si="16"/>
        <v/>
      </c>
      <c r="I57" s="62" t="str">
        <f t="shared" si="16"/>
        <v/>
      </c>
      <c r="J57" s="62" t="str">
        <f t="shared" si="16"/>
        <v/>
      </c>
      <c r="K57" s="62" t="str">
        <f t="shared" si="16"/>
        <v/>
      </c>
      <c r="L57" s="62" t="str">
        <f t="shared" si="16"/>
        <v/>
      </c>
      <c r="M57" s="62" t="str">
        <f t="shared" si="16"/>
        <v/>
      </c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</row>
    <row r="58" spans="3:27" hidden="1" outlineLevel="1" x14ac:dyDescent="0.35">
      <c r="C58" s="57">
        <f t="shared" si="4"/>
        <v>14</v>
      </c>
      <c r="D58" s="62" t="str">
        <f t="shared" ref="D58:M58" si="17">IFERROR(IF(D$9&lt;($C58+6),HLOOKUP($C58,$D$9:$AA$11,3,FALSE)*D29,C58),"")</f>
        <v/>
      </c>
      <c r="E58" s="62" t="str">
        <f t="shared" si="17"/>
        <v/>
      </c>
      <c r="F58" s="62" t="str">
        <f t="shared" si="17"/>
        <v/>
      </c>
      <c r="G58" s="62" t="str">
        <f t="shared" si="17"/>
        <v/>
      </c>
      <c r="H58" s="62" t="str">
        <f t="shared" si="17"/>
        <v/>
      </c>
      <c r="I58" s="62" t="str">
        <f t="shared" si="17"/>
        <v/>
      </c>
      <c r="J58" s="62" t="str">
        <f t="shared" si="17"/>
        <v/>
      </c>
      <c r="K58" s="62" t="str">
        <f t="shared" si="17"/>
        <v/>
      </c>
      <c r="L58" s="62" t="str">
        <f t="shared" si="17"/>
        <v/>
      </c>
      <c r="M58" s="62" t="str">
        <f t="shared" si="17"/>
        <v/>
      </c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</row>
    <row r="59" spans="3:27" hidden="1" outlineLevel="1" x14ac:dyDescent="0.35">
      <c r="C59" s="57">
        <f t="shared" si="4"/>
        <v>15</v>
      </c>
      <c r="D59" s="62" t="str">
        <f t="shared" ref="D59:M59" si="18">IFERROR(IF(D$9&lt;($C59+6),HLOOKUP($C59,$D$9:$AA$11,3,FALSE)*D30,C59),"")</f>
        <v/>
      </c>
      <c r="E59" s="62" t="str">
        <f t="shared" si="18"/>
        <v/>
      </c>
      <c r="F59" s="62" t="str">
        <f t="shared" si="18"/>
        <v/>
      </c>
      <c r="G59" s="62" t="str">
        <f t="shared" si="18"/>
        <v/>
      </c>
      <c r="H59" s="62" t="str">
        <f t="shared" si="18"/>
        <v/>
      </c>
      <c r="I59" s="62" t="str">
        <f t="shared" si="18"/>
        <v/>
      </c>
      <c r="J59" s="62" t="str">
        <f t="shared" si="18"/>
        <v/>
      </c>
      <c r="K59" s="62" t="str">
        <f t="shared" si="18"/>
        <v/>
      </c>
      <c r="L59" s="62" t="str">
        <f t="shared" si="18"/>
        <v/>
      </c>
      <c r="M59" s="62" t="str">
        <f t="shared" si="18"/>
        <v/>
      </c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</row>
    <row r="60" spans="3:27" hidden="1" outlineLevel="1" x14ac:dyDescent="0.35">
      <c r="C60" s="57">
        <f t="shared" si="4"/>
        <v>16</v>
      </c>
      <c r="D60" s="62" t="str">
        <f t="shared" ref="D60:M60" si="19">IFERROR(IF(D$9&lt;($C60+6),HLOOKUP($C60,$D$9:$AA$11,3,FALSE)*D31,C60),"")</f>
        <v/>
      </c>
      <c r="E60" s="62" t="str">
        <f t="shared" si="19"/>
        <v/>
      </c>
      <c r="F60" s="62" t="str">
        <f t="shared" si="19"/>
        <v/>
      </c>
      <c r="G60" s="62" t="str">
        <f t="shared" si="19"/>
        <v/>
      </c>
      <c r="H60" s="62" t="str">
        <f t="shared" si="19"/>
        <v/>
      </c>
      <c r="I60" s="62" t="str">
        <f t="shared" si="19"/>
        <v/>
      </c>
      <c r="J60" s="62" t="str">
        <f t="shared" si="19"/>
        <v/>
      </c>
      <c r="K60" s="62" t="str">
        <f t="shared" si="19"/>
        <v/>
      </c>
      <c r="L60" s="62" t="str">
        <f t="shared" si="19"/>
        <v/>
      </c>
      <c r="M60" s="62" t="str">
        <f t="shared" si="19"/>
        <v/>
      </c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</row>
    <row r="61" spans="3:27" hidden="1" outlineLevel="1" x14ac:dyDescent="0.35">
      <c r="C61" s="57">
        <f t="shared" si="4"/>
        <v>17</v>
      </c>
      <c r="D61" s="62" t="str">
        <f t="shared" ref="D61:M61" si="20">IFERROR(IF(D$9&lt;($C61+6),HLOOKUP($C61,$D$9:$AA$11,3,FALSE)*D32,C61),"")</f>
        <v/>
      </c>
      <c r="E61" s="62" t="str">
        <f t="shared" si="20"/>
        <v/>
      </c>
      <c r="F61" s="62" t="str">
        <f t="shared" si="20"/>
        <v/>
      </c>
      <c r="G61" s="62" t="str">
        <f t="shared" si="20"/>
        <v/>
      </c>
      <c r="H61" s="62" t="str">
        <f t="shared" si="20"/>
        <v/>
      </c>
      <c r="I61" s="62" t="str">
        <f t="shared" si="20"/>
        <v/>
      </c>
      <c r="J61" s="62" t="str">
        <f t="shared" si="20"/>
        <v/>
      </c>
      <c r="K61" s="62" t="str">
        <f t="shared" si="20"/>
        <v/>
      </c>
      <c r="L61" s="62" t="str">
        <f t="shared" si="20"/>
        <v/>
      </c>
      <c r="M61" s="62" t="str">
        <f t="shared" si="20"/>
        <v/>
      </c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</row>
    <row r="62" spans="3:27" hidden="1" outlineLevel="1" x14ac:dyDescent="0.35">
      <c r="C62" s="57">
        <f t="shared" si="4"/>
        <v>18</v>
      </c>
      <c r="D62" s="62" t="str">
        <f t="shared" ref="D62:M62" si="21">IFERROR(IF(D$9&lt;($C62+6),HLOOKUP($C62,$D$9:$AA$11,3,FALSE)*D33,C62),"")</f>
        <v/>
      </c>
      <c r="E62" s="62" t="str">
        <f t="shared" si="21"/>
        <v/>
      </c>
      <c r="F62" s="62" t="str">
        <f t="shared" si="21"/>
        <v/>
      </c>
      <c r="G62" s="62" t="str">
        <f t="shared" si="21"/>
        <v/>
      </c>
      <c r="H62" s="62" t="str">
        <f t="shared" si="21"/>
        <v/>
      </c>
      <c r="I62" s="62" t="str">
        <f t="shared" si="21"/>
        <v/>
      </c>
      <c r="J62" s="62" t="str">
        <f t="shared" si="21"/>
        <v/>
      </c>
      <c r="K62" s="62" t="str">
        <f t="shared" si="21"/>
        <v/>
      </c>
      <c r="L62" s="62" t="str">
        <f t="shared" si="21"/>
        <v/>
      </c>
      <c r="M62" s="62" t="str">
        <f t="shared" si="21"/>
        <v/>
      </c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</row>
    <row r="63" spans="3:27" hidden="1" outlineLevel="1" x14ac:dyDescent="0.35">
      <c r="C63" s="57">
        <f t="shared" si="4"/>
        <v>19</v>
      </c>
      <c r="D63" s="62" t="str">
        <f t="shared" ref="D63:M63" si="22">IFERROR(IF(D$9&lt;($C63+6),HLOOKUP($C63,$D$9:$AA$11,3,FALSE)*D34,C63),"")</f>
        <v/>
      </c>
      <c r="E63" s="62" t="str">
        <f t="shared" si="22"/>
        <v/>
      </c>
      <c r="F63" s="62" t="str">
        <f t="shared" si="22"/>
        <v/>
      </c>
      <c r="G63" s="62" t="str">
        <f t="shared" si="22"/>
        <v/>
      </c>
      <c r="H63" s="62" t="str">
        <f t="shared" si="22"/>
        <v/>
      </c>
      <c r="I63" s="62" t="str">
        <f t="shared" si="22"/>
        <v/>
      </c>
      <c r="J63" s="62" t="str">
        <f t="shared" si="22"/>
        <v/>
      </c>
      <c r="K63" s="62" t="str">
        <f t="shared" si="22"/>
        <v/>
      </c>
      <c r="L63" s="62" t="str">
        <f t="shared" si="22"/>
        <v/>
      </c>
      <c r="M63" s="62" t="str">
        <f t="shared" si="22"/>
        <v/>
      </c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</row>
    <row r="64" spans="3:27" hidden="1" outlineLevel="1" x14ac:dyDescent="0.35">
      <c r="C64" s="57">
        <f t="shared" si="4"/>
        <v>20</v>
      </c>
      <c r="D64" s="62" t="str">
        <f t="shared" ref="D64:M64" si="23">IFERROR(IF(D$9&lt;($C64+6),HLOOKUP($C64,$D$9:$AA$11,3,FALSE)*D35,C64),"")</f>
        <v/>
      </c>
      <c r="E64" s="62" t="str">
        <f t="shared" si="23"/>
        <v/>
      </c>
      <c r="F64" s="62" t="str">
        <f t="shared" si="23"/>
        <v/>
      </c>
      <c r="G64" s="62" t="str">
        <f t="shared" si="23"/>
        <v/>
      </c>
      <c r="H64" s="62" t="str">
        <f t="shared" si="23"/>
        <v/>
      </c>
      <c r="I64" s="62" t="str">
        <f t="shared" si="23"/>
        <v/>
      </c>
      <c r="J64" s="62" t="str">
        <f t="shared" si="23"/>
        <v/>
      </c>
      <c r="K64" s="62" t="str">
        <f t="shared" si="23"/>
        <v/>
      </c>
      <c r="L64" s="62" t="str">
        <f t="shared" si="23"/>
        <v/>
      </c>
      <c r="M64" s="62" t="str">
        <f t="shared" si="23"/>
        <v/>
      </c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</row>
    <row r="65" spans="3:27" hidden="1" outlineLevel="1" x14ac:dyDescent="0.35">
      <c r="C65" s="57">
        <f t="shared" si="4"/>
        <v>21</v>
      </c>
      <c r="D65" s="62" t="str">
        <f t="shared" ref="D65:M65" si="24">IFERROR(IF(D$9&lt;($C65+6),HLOOKUP($C65,$D$9:$AA$11,3,FALSE)*D36,C65),"")</f>
        <v/>
      </c>
      <c r="E65" s="62" t="str">
        <f t="shared" si="24"/>
        <v/>
      </c>
      <c r="F65" s="62" t="str">
        <f t="shared" si="24"/>
        <v/>
      </c>
      <c r="G65" s="62" t="str">
        <f t="shared" si="24"/>
        <v/>
      </c>
      <c r="H65" s="62" t="str">
        <f t="shared" si="24"/>
        <v/>
      </c>
      <c r="I65" s="62" t="str">
        <f t="shared" si="24"/>
        <v/>
      </c>
      <c r="J65" s="62" t="str">
        <f t="shared" si="24"/>
        <v/>
      </c>
      <c r="K65" s="62" t="str">
        <f t="shared" si="24"/>
        <v/>
      </c>
      <c r="L65" s="62" t="str">
        <f t="shared" si="24"/>
        <v/>
      </c>
      <c r="M65" s="62" t="str">
        <f t="shared" si="24"/>
        <v/>
      </c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</row>
    <row r="66" spans="3:27" hidden="1" outlineLevel="1" x14ac:dyDescent="0.35">
      <c r="C66" s="57">
        <f t="shared" si="4"/>
        <v>22</v>
      </c>
      <c r="D66" s="62" t="str">
        <f t="shared" ref="D66:M66" si="25">IFERROR(IF(D$9&lt;($C66+6),HLOOKUP($C66,$D$9:$AA$11,3,FALSE)*D37,C66),"")</f>
        <v/>
      </c>
      <c r="E66" s="62" t="str">
        <f t="shared" si="25"/>
        <v/>
      </c>
      <c r="F66" s="62" t="str">
        <f t="shared" si="25"/>
        <v/>
      </c>
      <c r="G66" s="62" t="str">
        <f t="shared" si="25"/>
        <v/>
      </c>
      <c r="H66" s="62" t="str">
        <f t="shared" si="25"/>
        <v/>
      </c>
      <c r="I66" s="62" t="str">
        <f t="shared" si="25"/>
        <v/>
      </c>
      <c r="J66" s="62" t="str">
        <f t="shared" si="25"/>
        <v/>
      </c>
      <c r="K66" s="62" t="str">
        <f t="shared" si="25"/>
        <v/>
      </c>
      <c r="L66" s="62" t="str">
        <f t="shared" si="25"/>
        <v/>
      </c>
      <c r="M66" s="62" t="str">
        <f t="shared" si="25"/>
        <v/>
      </c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</row>
    <row r="67" spans="3:27" hidden="1" outlineLevel="1" x14ac:dyDescent="0.35">
      <c r="C67" s="57">
        <f t="shared" si="4"/>
        <v>23</v>
      </c>
      <c r="D67" s="62" t="str">
        <f t="shared" ref="D67:M67" si="26">IFERROR(IF(D$9&lt;($C67+6),HLOOKUP($C67,$D$9:$AA$11,3,FALSE)*D38,C67),"")</f>
        <v/>
      </c>
      <c r="E67" s="62" t="str">
        <f t="shared" si="26"/>
        <v/>
      </c>
      <c r="F67" s="62" t="str">
        <f t="shared" si="26"/>
        <v/>
      </c>
      <c r="G67" s="62" t="str">
        <f t="shared" si="26"/>
        <v/>
      </c>
      <c r="H67" s="62" t="str">
        <f t="shared" si="26"/>
        <v/>
      </c>
      <c r="I67" s="62" t="str">
        <f t="shared" si="26"/>
        <v/>
      </c>
      <c r="J67" s="62" t="str">
        <f t="shared" si="26"/>
        <v/>
      </c>
      <c r="K67" s="62" t="str">
        <f t="shared" si="26"/>
        <v/>
      </c>
      <c r="L67" s="62" t="str">
        <f t="shared" si="26"/>
        <v/>
      </c>
      <c r="M67" s="62" t="str">
        <f t="shared" si="26"/>
        <v/>
      </c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</row>
    <row r="68" spans="3:27" hidden="1" outlineLevel="1" x14ac:dyDescent="0.35">
      <c r="C68" s="57">
        <f t="shared" si="4"/>
        <v>24</v>
      </c>
      <c r="D68" s="62" t="str">
        <f t="shared" ref="D68:M68" si="27">IFERROR(IF(D$9&lt;($C68+6),HLOOKUP($C68,$D$9:$AA$11,3,FALSE)*D39,C68),"")</f>
        <v/>
      </c>
      <c r="E68" s="62" t="str">
        <f t="shared" si="27"/>
        <v/>
      </c>
      <c r="F68" s="62" t="str">
        <f t="shared" si="27"/>
        <v/>
      </c>
      <c r="G68" s="62" t="str">
        <f t="shared" si="27"/>
        <v/>
      </c>
      <c r="H68" s="62" t="str">
        <f t="shared" si="27"/>
        <v/>
      </c>
      <c r="I68" s="62" t="str">
        <f t="shared" si="27"/>
        <v/>
      </c>
      <c r="J68" s="62" t="str">
        <f t="shared" si="27"/>
        <v/>
      </c>
      <c r="K68" s="62" t="str">
        <f t="shared" si="27"/>
        <v/>
      </c>
      <c r="L68" s="62" t="str">
        <f t="shared" si="27"/>
        <v/>
      </c>
      <c r="M68" s="62" t="str">
        <f t="shared" si="27"/>
        <v/>
      </c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</row>
    <row r="69" spans="3:27" hidden="1" outlineLevel="1" x14ac:dyDescent="0.35"/>
    <row r="70" spans="3:27" hidden="1" outlineLevel="1" x14ac:dyDescent="0.35"/>
    <row r="71" spans="3:27" hidden="1" outlineLevel="1" x14ac:dyDescent="0.35"/>
    <row r="72" spans="3:27" ht="15.5" hidden="1" outlineLevel="1" x14ac:dyDescent="0.35">
      <c r="C72" s="60" t="s">
        <v>82</v>
      </c>
    </row>
    <row r="73" spans="3:27" hidden="1" outlineLevel="1" x14ac:dyDescent="0.35">
      <c r="C73" s="57">
        <v>1</v>
      </c>
      <c r="D73" s="63" t="str">
        <f t="shared" ref="D73:M73" si="28">IF(AND(D$9&gt;($C73),D$9&lt;($C73+6)), D45-C45,"")</f>
        <v/>
      </c>
      <c r="E73" s="63">
        <f t="shared" si="28"/>
        <v>-403.00000000000011</v>
      </c>
      <c r="F73" s="63">
        <f t="shared" si="28"/>
        <v>0</v>
      </c>
      <c r="G73" s="63">
        <f t="shared" si="28"/>
        <v>-26</v>
      </c>
      <c r="H73" s="63">
        <f t="shared" si="28"/>
        <v>-156</v>
      </c>
      <c r="I73" s="63">
        <f t="shared" si="28"/>
        <v>0</v>
      </c>
      <c r="J73" s="63" t="str">
        <f t="shared" si="28"/>
        <v/>
      </c>
      <c r="K73" s="63" t="str">
        <f t="shared" si="28"/>
        <v/>
      </c>
      <c r="L73" s="63" t="str">
        <f t="shared" si="28"/>
        <v/>
      </c>
      <c r="M73" s="63" t="str">
        <f t="shared" si="28"/>
        <v/>
      </c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</row>
    <row r="74" spans="3:27" hidden="1" outlineLevel="1" x14ac:dyDescent="0.35">
      <c r="C74" s="57">
        <f t="shared" ref="C74:C96" si="29">C73+1</f>
        <v>2</v>
      </c>
      <c r="D74" s="63" t="str">
        <f t="shared" ref="D74:M74" si="30">IF(AND(D$9&gt;($C74),D$9&lt;($C74+6)), D46-C46,"")</f>
        <v/>
      </c>
      <c r="E74" s="63" t="str">
        <f t="shared" si="30"/>
        <v/>
      </c>
      <c r="F74" s="63">
        <f t="shared" si="30"/>
        <v>-620</v>
      </c>
      <c r="G74" s="63">
        <f t="shared" si="30"/>
        <v>0</v>
      </c>
      <c r="H74" s="63">
        <f t="shared" si="30"/>
        <v>-40</v>
      </c>
      <c r="I74" s="63">
        <f t="shared" si="30"/>
        <v>-240</v>
      </c>
      <c r="J74" s="63">
        <f t="shared" si="30"/>
        <v>0</v>
      </c>
      <c r="K74" s="63" t="str">
        <f t="shared" si="30"/>
        <v/>
      </c>
      <c r="L74" s="63" t="str">
        <f t="shared" si="30"/>
        <v/>
      </c>
      <c r="M74" s="63" t="str">
        <f t="shared" si="30"/>
        <v/>
      </c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</row>
    <row r="75" spans="3:27" hidden="1" outlineLevel="1" x14ac:dyDescent="0.35">
      <c r="C75" s="57">
        <f t="shared" si="29"/>
        <v>3</v>
      </c>
      <c r="D75" s="63" t="str">
        <f t="shared" ref="D75:M75" si="31">IF(AND(D$9&gt;($C75),D$9&lt;($C75+6)), D47-C47,"")</f>
        <v/>
      </c>
      <c r="E75" s="63" t="str">
        <f t="shared" si="31"/>
        <v/>
      </c>
      <c r="F75" s="63" t="str">
        <f t="shared" si="31"/>
        <v/>
      </c>
      <c r="G75" s="63">
        <f t="shared" si="31"/>
        <v>-1023.0000000000002</v>
      </c>
      <c r="H75" s="63">
        <f t="shared" si="31"/>
        <v>0</v>
      </c>
      <c r="I75" s="63">
        <f t="shared" si="31"/>
        <v>-66</v>
      </c>
      <c r="J75" s="63">
        <f t="shared" si="31"/>
        <v>-396</v>
      </c>
      <c r="K75" s="63">
        <f t="shared" si="31"/>
        <v>0</v>
      </c>
      <c r="L75" s="63" t="str">
        <f t="shared" si="31"/>
        <v/>
      </c>
      <c r="M75" s="63" t="str">
        <f t="shared" si="31"/>
        <v/>
      </c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</row>
    <row r="76" spans="3:27" hidden="1" outlineLevel="1" x14ac:dyDescent="0.35">
      <c r="C76" s="57">
        <f t="shared" si="29"/>
        <v>4</v>
      </c>
      <c r="D76" s="63" t="str">
        <f t="shared" ref="D76:M76" si="32">IF(AND(D$9&gt;($C76),D$9&lt;($C76+6)), D48-C48,"")</f>
        <v/>
      </c>
      <c r="E76" s="63" t="str">
        <f t="shared" si="32"/>
        <v/>
      </c>
      <c r="F76" s="63" t="str">
        <f t="shared" si="32"/>
        <v/>
      </c>
      <c r="G76" s="63" t="str">
        <f t="shared" si="32"/>
        <v/>
      </c>
      <c r="H76" s="63">
        <f t="shared" si="32"/>
        <v>-1074.1500000000001</v>
      </c>
      <c r="I76" s="63">
        <f t="shared" si="32"/>
        <v>0</v>
      </c>
      <c r="J76" s="63">
        <f t="shared" si="32"/>
        <v>-69.299999999999955</v>
      </c>
      <c r="K76" s="63">
        <f t="shared" si="32"/>
        <v>-415.80000000000007</v>
      </c>
      <c r="L76" s="63">
        <f t="shared" si="32"/>
        <v>0</v>
      </c>
      <c r="M76" s="63" t="str">
        <f t="shared" si="32"/>
        <v/>
      </c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</row>
    <row r="77" spans="3:27" hidden="1" outlineLevel="1" x14ac:dyDescent="0.35">
      <c r="C77" s="57">
        <f t="shared" si="29"/>
        <v>5</v>
      </c>
      <c r="D77" s="63" t="str">
        <f t="shared" ref="D77:M77" si="33">IF(AND(D$9&gt;($C77),D$9&lt;($C77+6)), D49-C49,"")</f>
        <v/>
      </c>
      <c r="E77" s="63" t="str">
        <f t="shared" si="33"/>
        <v/>
      </c>
      <c r="F77" s="63" t="str">
        <f t="shared" si="33"/>
        <v/>
      </c>
      <c r="G77" s="63" t="str">
        <f t="shared" si="33"/>
        <v/>
      </c>
      <c r="H77" s="63" t="str">
        <f t="shared" si="33"/>
        <v/>
      </c>
      <c r="I77" s="63">
        <f t="shared" si="33"/>
        <v>-1127.8575000000003</v>
      </c>
      <c r="J77" s="63">
        <f t="shared" si="33"/>
        <v>0</v>
      </c>
      <c r="K77" s="63">
        <f t="shared" si="33"/>
        <v>-72.764999999999986</v>
      </c>
      <c r="L77" s="63">
        <f t="shared" si="33"/>
        <v>-436.59000000000003</v>
      </c>
      <c r="M77" s="63">
        <f t="shared" si="33"/>
        <v>0</v>
      </c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</row>
    <row r="78" spans="3:27" hidden="1" outlineLevel="1" x14ac:dyDescent="0.35">
      <c r="C78" s="57">
        <f t="shared" si="29"/>
        <v>6</v>
      </c>
      <c r="D78" s="63" t="str">
        <f t="shared" ref="D78:M78" si="34">IF(AND(D$9&gt;($C78),D$9&lt;($C78+6)), D50-C50,"")</f>
        <v/>
      </c>
      <c r="E78" s="63" t="str">
        <f t="shared" si="34"/>
        <v/>
      </c>
      <c r="F78" s="63" t="str">
        <f t="shared" si="34"/>
        <v/>
      </c>
      <c r="G78" s="63" t="str">
        <f t="shared" si="34"/>
        <v/>
      </c>
      <c r="H78" s="63" t="str">
        <f t="shared" si="34"/>
        <v/>
      </c>
      <c r="I78" s="63" t="str">
        <f t="shared" si="34"/>
        <v/>
      </c>
      <c r="J78" s="63">
        <f t="shared" si="34"/>
        <v>-1184.2503750000001</v>
      </c>
      <c r="K78" s="63">
        <f t="shared" si="34"/>
        <v>0</v>
      </c>
      <c r="L78" s="63">
        <f t="shared" si="34"/>
        <v>-76.403249999999957</v>
      </c>
      <c r="M78" s="63">
        <f t="shared" si="34"/>
        <v>-458.41950000000003</v>
      </c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</row>
    <row r="79" spans="3:27" hidden="1" outlineLevel="1" x14ac:dyDescent="0.35">
      <c r="C79" s="57">
        <f t="shared" si="29"/>
        <v>7</v>
      </c>
      <c r="D79" s="63" t="str">
        <f t="shared" ref="D79:M79" si="35">IF(AND(D$9&gt;($C79),D$9&lt;($C79+6)), D51-C51,"")</f>
        <v/>
      </c>
      <c r="E79" s="63" t="str">
        <f t="shared" si="35"/>
        <v/>
      </c>
      <c r="F79" s="63" t="str">
        <f t="shared" si="35"/>
        <v/>
      </c>
      <c r="G79" s="63" t="str">
        <f t="shared" si="35"/>
        <v/>
      </c>
      <c r="H79" s="63" t="str">
        <f t="shared" si="35"/>
        <v/>
      </c>
      <c r="I79" s="63" t="str">
        <f t="shared" si="35"/>
        <v/>
      </c>
      <c r="J79" s="63" t="str">
        <f t="shared" si="35"/>
        <v/>
      </c>
      <c r="K79" s="63">
        <f t="shared" si="35"/>
        <v>-1243.4628937500001</v>
      </c>
      <c r="L79" s="63">
        <f t="shared" si="35"/>
        <v>0</v>
      </c>
      <c r="M79" s="63">
        <f t="shared" si="35"/>
        <v>-80.223412499999995</v>
      </c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</row>
    <row r="80" spans="3:27" hidden="1" outlineLevel="1" x14ac:dyDescent="0.35">
      <c r="C80" s="57">
        <f t="shared" si="29"/>
        <v>8</v>
      </c>
      <c r="D80" s="63" t="str">
        <f t="shared" ref="D80:M80" si="36">IF(AND(D$9&gt;($C80),D$9&lt;($C80+6)), D52-C52,"")</f>
        <v/>
      </c>
      <c r="E80" s="63" t="str">
        <f t="shared" si="36"/>
        <v/>
      </c>
      <c r="F80" s="63" t="str">
        <f t="shared" si="36"/>
        <v/>
      </c>
      <c r="G80" s="63" t="str">
        <f t="shared" si="36"/>
        <v/>
      </c>
      <c r="H80" s="63" t="str">
        <f t="shared" si="36"/>
        <v/>
      </c>
      <c r="I80" s="63" t="str">
        <f t="shared" si="36"/>
        <v/>
      </c>
      <c r="J80" s="63" t="str">
        <f t="shared" si="36"/>
        <v/>
      </c>
      <c r="K80" s="63" t="str">
        <f t="shared" si="36"/>
        <v/>
      </c>
      <c r="L80" s="63">
        <f t="shared" si="36"/>
        <v>-1305.6360384375005</v>
      </c>
      <c r="M80" s="63">
        <f t="shared" si="36"/>
        <v>0</v>
      </c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</row>
    <row r="81" spans="3:27" hidden="1" outlineLevel="1" x14ac:dyDescent="0.35">
      <c r="C81" s="57">
        <f t="shared" si="29"/>
        <v>9</v>
      </c>
      <c r="D81" s="63" t="str">
        <f t="shared" ref="D81:M81" si="37">IF(AND(D$9&gt;($C81),D$9&lt;($C81+6)), D53-C53,"")</f>
        <v/>
      </c>
      <c r="E81" s="63" t="str">
        <f t="shared" si="37"/>
        <v/>
      </c>
      <c r="F81" s="63" t="str">
        <f t="shared" si="37"/>
        <v/>
      </c>
      <c r="G81" s="63" t="str">
        <f t="shared" si="37"/>
        <v/>
      </c>
      <c r="H81" s="63" t="str">
        <f t="shared" si="37"/>
        <v/>
      </c>
      <c r="I81" s="63" t="str">
        <f t="shared" si="37"/>
        <v/>
      </c>
      <c r="J81" s="63" t="str">
        <f t="shared" si="37"/>
        <v/>
      </c>
      <c r="K81" s="63" t="str">
        <f t="shared" si="37"/>
        <v/>
      </c>
      <c r="L81" s="63" t="str">
        <f t="shared" si="37"/>
        <v/>
      </c>
      <c r="M81" s="63">
        <f t="shared" si="37"/>
        <v>-1370.9178403593753</v>
      </c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</row>
    <row r="82" spans="3:27" hidden="1" outlineLevel="1" x14ac:dyDescent="0.35">
      <c r="C82" s="57">
        <f t="shared" si="29"/>
        <v>10</v>
      </c>
      <c r="D82" s="63" t="str">
        <f t="shared" ref="D82:M82" si="38">IF(AND(D$9&gt;($C82),D$9&lt;($C82+6)), D54-C54,"")</f>
        <v/>
      </c>
      <c r="E82" s="63" t="str">
        <f t="shared" si="38"/>
        <v/>
      </c>
      <c r="F82" s="63" t="str">
        <f t="shared" si="38"/>
        <v/>
      </c>
      <c r="G82" s="63" t="str">
        <f t="shared" si="38"/>
        <v/>
      </c>
      <c r="H82" s="63" t="str">
        <f t="shared" si="38"/>
        <v/>
      </c>
      <c r="I82" s="63" t="str">
        <f t="shared" si="38"/>
        <v/>
      </c>
      <c r="J82" s="63" t="str">
        <f t="shared" si="38"/>
        <v/>
      </c>
      <c r="K82" s="63" t="str">
        <f t="shared" si="38"/>
        <v/>
      </c>
      <c r="L82" s="63" t="str">
        <f t="shared" si="38"/>
        <v/>
      </c>
      <c r="M82" s="63" t="str">
        <f t="shared" si="38"/>
        <v/>
      </c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</row>
    <row r="83" spans="3:27" hidden="1" outlineLevel="1" x14ac:dyDescent="0.35">
      <c r="C83" s="57">
        <f t="shared" si="29"/>
        <v>11</v>
      </c>
      <c r="D83" s="63" t="str">
        <f t="shared" ref="D83:M83" si="39">IF(AND(D$9&gt;($C83),D$9&lt;($C83+6)), D55-C55,"")</f>
        <v/>
      </c>
      <c r="E83" s="63" t="str">
        <f t="shared" si="39"/>
        <v/>
      </c>
      <c r="F83" s="63" t="str">
        <f t="shared" si="39"/>
        <v/>
      </c>
      <c r="G83" s="63" t="str">
        <f t="shared" si="39"/>
        <v/>
      </c>
      <c r="H83" s="63" t="str">
        <f t="shared" si="39"/>
        <v/>
      </c>
      <c r="I83" s="63" t="str">
        <f t="shared" si="39"/>
        <v/>
      </c>
      <c r="J83" s="63" t="str">
        <f t="shared" si="39"/>
        <v/>
      </c>
      <c r="K83" s="63" t="str">
        <f t="shared" si="39"/>
        <v/>
      </c>
      <c r="L83" s="63" t="str">
        <f t="shared" si="39"/>
        <v/>
      </c>
      <c r="M83" s="63" t="str">
        <f t="shared" si="39"/>
        <v/>
      </c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</row>
    <row r="84" spans="3:27" hidden="1" outlineLevel="1" x14ac:dyDescent="0.35">
      <c r="C84" s="57">
        <f t="shared" si="29"/>
        <v>12</v>
      </c>
      <c r="D84" s="63" t="str">
        <f t="shared" ref="D84:M84" si="40">IF(AND(D$9&gt;($C84),D$9&lt;($C84+6)), D56-C56,"")</f>
        <v/>
      </c>
      <c r="E84" s="63" t="str">
        <f t="shared" si="40"/>
        <v/>
      </c>
      <c r="F84" s="63" t="str">
        <f t="shared" si="40"/>
        <v/>
      </c>
      <c r="G84" s="63" t="str">
        <f t="shared" si="40"/>
        <v/>
      </c>
      <c r="H84" s="63" t="str">
        <f t="shared" si="40"/>
        <v/>
      </c>
      <c r="I84" s="63" t="str">
        <f t="shared" si="40"/>
        <v/>
      </c>
      <c r="J84" s="63" t="str">
        <f t="shared" si="40"/>
        <v/>
      </c>
      <c r="K84" s="63" t="str">
        <f t="shared" si="40"/>
        <v/>
      </c>
      <c r="L84" s="63" t="str">
        <f t="shared" si="40"/>
        <v/>
      </c>
      <c r="M84" s="63" t="str">
        <f t="shared" si="40"/>
        <v/>
      </c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</row>
    <row r="85" spans="3:27" hidden="1" outlineLevel="1" x14ac:dyDescent="0.35">
      <c r="C85" s="57">
        <f t="shared" si="29"/>
        <v>13</v>
      </c>
      <c r="D85" s="63" t="str">
        <f t="shared" ref="D85:M85" si="41">IF(AND(D$9&gt;($C85),D$9&lt;($C85+6)), D57-C57,"")</f>
        <v/>
      </c>
      <c r="E85" s="63" t="str">
        <f t="shared" si="41"/>
        <v/>
      </c>
      <c r="F85" s="63" t="str">
        <f t="shared" si="41"/>
        <v/>
      </c>
      <c r="G85" s="63" t="str">
        <f t="shared" si="41"/>
        <v/>
      </c>
      <c r="H85" s="63" t="str">
        <f t="shared" si="41"/>
        <v/>
      </c>
      <c r="I85" s="63" t="str">
        <f t="shared" si="41"/>
        <v/>
      </c>
      <c r="J85" s="63" t="str">
        <f t="shared" si="41"/>
        <v/>
      </c>
      <c r="K85" s="63" t="str">
        <f t="shared" si="41"/>
        <v/>
      </c>
      <c r="L85" s="63" t="str">
        <f t="shared" si="41"/>
        <v/>
      </c>
      <c r="M85" s="63" t="str">
        <f t="shared" si="41"/>
        <v/>
      </c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</row>
    <row r="86" spans="3:27" hidden="1" outlineLevel="1" x14ac:dyDescent="0.35">
      <c r="C86" s="57">
        <f t="shared" si="29"/>
        <v>14</v>
      </c>
      <c r="D86" s="63" t="str">
        <f t="shared" ref="D86:M86" si="42">IF(AND(D$9&gt;($C86),D$9&lt;($C86+6)), D58-C58,"")</f>
        <v/>
      </c>
      <c r="E86" s="63" t="str">
        <f t="shared" si="42"/>
        <v/>
      </c>
      <c r="F86" s="63" t="str">
        <f t="shared" si="42"/>
        <v/>
      </c>
      <c r="G86" s="63" t="str">
        <f t="shared" si="42"/>
        <v/>
      </c>
      <c r="H86" s="63" t="str">
        <f t="shared" si="42"/>
        <v/>
      </c>
      <c r="I86" s="63" t="str">
        <f t="shared" si="42"/>
        <v/>
      </c>
      <c r="J86" s="63" t="str">
        <f t="shared" si="42"/>
        <v/>
      </c>
      <c r="K86" s="63" t="str">
        <f t="shared" si="42"/>
        <v/>
      </c>
      <c r="L86" s="63" t="str">
        <f t="shared" si="42"/>
        <v/>
      </c>
      <c r="M86" s="63" t="str">
        <f t="shared" si="42"/>
        <v/>
      </c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</row>
    <row r="87" spans="3:27" hidden="1" outlineLevel="1" x14ac:dyDescent="0.35">
      <c r="C87" s="57">
        <f t="shared" si="29"/>
        <v>15</v>
      </c>
      <c r="D87" s="63" t="str">
        <f t="shared" ref="D87:M87" si="43">IF(AND(D$9&gt;($C87),D$9&lt;($C87+6)), D59-C59,"")</f>
        <v/>
      </c>
      <c r="E87" s="63" t="str">
        <f t="shared" si="43"/>
        <v/>
      </c>
      <c r="F87" s="63" t="str">
        <f t="shared" si="43"/>
        <v/>
      </c>
      <c r="G87" s="63" t="str">
        <f t="shared" si="43"/>
        <v/>
      </c>
      <c r="H87" s="63" t="str">
        <f t="shared" si="43"/>
        <v/>
      </c>
      <c r="I87" s="63" t="str">
        <f t="shared" si="43"/>
        <v/>
      </c>
      <c r="J87" s="63" t="str">
        <f t="shared" si="43"/>
        <v/>
      </c>
      <c r="K87" s="63" t="str">
        <f t="shared" si="43"/>
        <v/>
      </c>
      <c r="L87" s="63" t="str">
        <f t="shared" si="43"/>
        <v/>
      </c>
      <c r="M87" s="63" t="str">
        <f t="shared" si="43"/>
        <v/>
      </c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</row>
    <row r="88" spans="3:27" hidden="1" outlineLevel="1" x14ac:dyDescent="0.35">
      <c r="C88" s="57">
        <f t="shared" si="29"/>
        <v>16</v>
      </c>
      <c r="D88" s="63" t="str">
        <f t="shared" ref="D88:M88" si="44">IF(AND(D$9&gt;($C88),D$9&lt;($C88+6)), D60-C60,"")</f>
        <v/>
      </c>
      <c r="E88" s="63" t="str">
        <f t="shared" si="44"/>
        <v/>
      </c>
      <c r="F88" s="63" t="str">
        <f t="shared" si="44"/>
        <v/>
      </c>
      <c r="G88" s="63" t="str">
        <f t="shared" si="44"/>
        <v/>
      </c>
      <c r="H88" s="63" t="str">
        <f t="shared" si="44"/>
        <v/>
      </c>
      <c r="I88" s="63" t="str">
        <f t="shared" si="44"/>
        <v/>
      </c>
      <c r="J88" s="63" t="str">
        <f t="shared" si="44"/>
        <v/>
      </c>
      <c r="K88" s="63" t="str">
        <f t="shared" si="44"/>
        <v/>
      </c>
      <c r="L88" s="63" t="str">
        <f t="shared" si="44"/>
        <v/>
      </c>
      <c r="M88" s="63" t="str">
        <f t="shared" si="44"/>
        <v/>
      </c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</row>
    <row r="89" spans="3:27" hidden="1" outlineLevel="1" x14ac:dyDescent="0.35">
      <c r="C89" s="57">
        <f t="shared" si="29"/>
        <v>17</v>
      </c>
      <c r="D89" s="63" t="str">
        <f t="shared" ref="D89:M89" si="45">IF(AND(D$9&gt;($C89),D$9&lt;($C89+6)), D61-C61,"")</f>
        <v/>
      </c>
      <c r="E89" s="63" t="str">
        <f t="shared" si="45"/>
        <v/>
      </c>
      <c r="F89" s="63" t="str">
        <f t="shared" si="45"/>
        <v/>
      </c>
      <c r="G89" s="63" t="str">
        <f t="shared" si="45"/>
        <v/>
      </c>
      <c r="H89" s="63" t="str">
        <f t="shared" si="45"/>
        <v/>
      </c>
      <c r="I89" s="63" t="str">
        <f t="shared" si="45"/>
        <v/>
      </c>
      <c r="J89" s="63" t="str">
        <f t="shared" si="45"/>
        <v/>
      </c>
      <c r="K89" s="63" t="str">
        <f t="shared" si="45"/>
        <v/>
      </c>
      <c r="L89" s="63" t="str">
        <f t="shared" si="45"/>
        <v/>
      </c>
      <c r="M89" s="63" t="str">
        <f t="shared" si="45"/>
        <v/>
      </c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</row>
    <row r="90" spans="3:27" hidden="1" outlineLevel="1" x14ac:dyDescent="0.35">
      <c r="C90" s="57">
        <f t="shared" si="29"/>
        <v>18</v>
      </c>
      <c r="D90" s="63" t="str">
        <f t="shared" ref="D90:M90" si="46">IF(AND(D$9&gt;($C90),D$9&lt;($C90+6)), D62-C62,"")</f>
        <v/>
      </c>
      <c r="E90" s="63" t="str">
        <f t="shared" si="46"/>
        <v/>
      </c>
      <c r="F90" s="63" t="str">
        <f t="shared" si="46"/>
        <v/>
      </c>
      <c r="G90" s="63" t="str">
        <f t="shared" si="46"/>
        <v/>
      </c>
      <c r="H90" s="63" t="str">
        <f t="shared" si="46"/>
        <v/>
      </c>
      <c r="I90" s="63" t="str">
        <f t="shared" si="46"/>
        <v/>
      </c>
      <c r="J90" s="63" t="str">
        <f t="shared" si="46"/>
        <v/>
      </c>
      <c r="K90" s="63" t="str">
        <f t="shared" si="46"/>
        <v/>
      </c>
      <c r="L90" s="63" t="str">
        <f t="shared" si="46"/>
        <v/>
      </c>
      <c r="M90" s="63" t="str">
        <f t="shared" si="46"/>
        <v/>
      </c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</row>
    <row r="91" spans="3:27" hidden="1" outlineLevel="1" x14ac:dyDescent="0.35">
      <c r="C91" s="57">
        <f t="shared" si="29"/>
        <v>19</v>
      </c>
      <c r="D91" s="63" t="str">
        <f t="shared" ref="D91:M91" si="47">IF(AND(D$9&gt;($C91),D$9&lt;($C91+6)), D63-C63,"")</f>
        <v/>
      </c>
      <c r="E91" s="63" t="str">
        <f t="shared" si="47"/>
        <v/>
      </c>
      <c r="F91" s="63" t="str">
        <f t="shared" si="47"/>
        <v/>
      </c>
      <c r="G91" s="63" t="str">
        <f t="shared" si="47"/>
        <v/>
      </c>
      <c r="H91" s="63" t="str">
        <f t="shared" si="47"/>
        <v/>
      </c>
      <c r="I91" s="63" t="str">
        <f t="shared" si="47"/>
        <v/>
      </c>
      <c r="J91" s="63" t="str">
        <f t="shared" si="47"/>
        <v/>
      </c>
      <c r="K91" s="63" t="str">
        <f t="shared" si="47"/>
        <v/>
      </c>
      <c r="L91" s="63" t="str">
        <f t="shared" si="47"/>
        <v/>
      </c>
      <c r="M91" s="63" t="str">
        <f t="shared" si="47"/>
        <v/>
      </c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</row>
    <row r="92" spans="3:27" hidden="1" outlineLevel="1" x14ac:dyDescent="0.35">
      <c r="C92" s="57">
        <f t="shared" si="29"/>
        <v>20</v>
      </c>
      <c r="D92" s="63" t="str">
        <f t="shared" ref="D92:M92" si="48">IF(AND(D$9&gt;($C92),D$9&lt;($C92+6)), D64-C64,"")</f>
        <v/>
      </c>
      <c r="E92" s="63" t="str">
        <f t="shared" si="48"/>
        <v/>
      </c>
      <c r="F92" s="63" t="str">
        <f t="shared" si="48"/>
        <v/>
      </c>
      <c r="G92" s="63" t="str">
        <f t="shared" si="48"/>
        <v/>
      </c>
      <c r="H92" s="63" t="str">
        <f t="shared" si="48"/>
        <v/>
      </c>
      <c r="I92" s="63" t="str">
        <f t="shared" si="48"/>
        <v/>
      </c>
      <c r="J92" s="63" t="str">
        <f t="shared" si="48"/>
        <v/>
      </c>
      <c r="K92" s="63" t="str">
        <f t="shared" si="48"/>
        <v/>
      </c>
      <c r="L92" s="63" t="str">
        <f t="shared" si="48"/>
        <v/>
      </c>
      <c r="M92" s="63" t="str">
        <f t="shared" si="48"/>
        <v/>
      </c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</row>
    <row r="93" spans="3:27" hidden="1" outlineLevel="1" x14ac:dyDescent="0.35">
      <c r="C93" s="57">
        <f t="shared" si="29"/>
        <v>21</v>
      </c>
      <c r="D93" s="63" t="str">
        <f t="shared" ref="D93:M93" si="49">IF(AND(D$9&gt;($C93),D$9&lt;($C93+6)), D65-C65,"")</f>
        <v/>
      </c>
      <c r="E93" s="63" t="str">
        <f t="shared" si="49"/>
        <v/>
      </c>
      <c r="F93" s="63" t="str">
        <f t="shared" si="49"/>
        <v/>
      </c>
      <c r="G93" s="63" t="str">
        <f t="shared" si="49"/>
        <v/>
      </c>
      <c r="H93" s="63" t="str">
        <f t="shared" si="49"/>
        <v/>
      </c>
      <c r="I93" s="63" t="str">
        <f t="shared" si="49"/>
        <v/>
      </c>
      <c r="J93" s="63" t="str">
        <f t="shared" si="49"/>
        <v/>
      </c>
      <c r="K93" s="63" t="str">
        <f t="shared" si="49"/>
        <v/>
      </c>
      <c r="L93" s="63" t="str">
        <f t="shared" si="49"/>
        <v/>
      </c>
      <c r="M93" s="63" t="str">
        <f t="shared" si="49"/>
        <v/>
      </c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</row>
    <row r="94" spans="3:27" hidden="1" outlineLevel="1" x14ac:dyDescent="0.35">
      <c r="C94" s="57">
        <f t="shared" si="29"/>
        <v>22</v>
      </c>
      <c r="D94" s="63" t="str">
        <f t="shared" ref="D94:M94" si="50">IF(AND(D$9&gt;($C94),D$9&lt;($C94+6)), D66-C66,"")</f>
        <v/>
      </c>
      <c r="E94" s="63" t="str">
        <f t="shared" si="50"/>
        <v/>
      </c>
      <c r="F94" s="63" t="str">
        <f t="shared" si="50"/>
        <v/>
      </c>
      <c r="G94" s="63" t="str">
        <f t="shared" si="50"/>
        <v/>
      </c>
      <c r="H94" s="63" t="str">
        <f t="shared" si="50"/>
        <v/>
      </c>
      <c r="I94" s="63" t="str">
        <f t="shared" si="50"/>
        <v/>
      </c>
      <c r="J94" s="63" t="str">
        <f t="shared" si="50"/>
        <v/>
      </c>
      <c r="K94" s="63" t="str">
        <f t="shared" si="50"/>
        <v/>
      </c>
      <c r="L94" s="63" t="str">
        <f t="shared" si="50"/>
        <v/>
      </c>
      <c r="M94" s="63" t="str">
        <f t="shared" si="50"/>
        <v/>
      </c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</row>
    <row r="95" spans="3:27" hidden="1" outlineLevel="1" x14ac:dyDescent="0.35">
      <c r="C95" s="57">
        <f t="shared" si="29"/>
        <v>23</v>
      </c>
      <c r="D95" s="63" t="str">
        <f t="shared" ref="D95:M95" si="51">IF(AND(D$9&gt;($C95),D$9&lt;($C95+6)), D67-C67,"")</f>
        <v/>
      </c>
      <c r="E95" s="63" t="str">
        <f t="shared" si="51"/>
        <v/>
      </c>
      <c r="F95" s="63" t="str">
        <f t="shared" si="51"/>
        <v/>
      </c>
      <c r="G95" s="63" t="str">
        <f t="shared" si="51"/>
        <v/>
      </c>
      <c r="H95" s="63" t="str">
        <f t="shared" si="51"/>
        <v/>
      </c>
      <c r="I95" s="63" t="str">
        <f t="shared" si="51"/>
        <v/>
      </c>
      <c r="J95" s="63" t="str">
        <f t="shared" si="51"/>
        <v/>
      </c>
      <c r="K95" s="63" t="str">
        <f t="shared" si="51"/>
        <v/>
      </c>
      <c r="L95" s="63" t="str">
        <f t="shared" si="51"/>
        <v/>
      </c>
      <c r="M95" s="63" t="str">
        <f t="shared" si="51"/>
        <v/>
      </c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</row>
    <row r="96" spans="3:27" hidden="1" outlineLevel="1" x14ac:dyDescent="0.35">
      <c r="C96" s="57">
        <f t="shared" si="29"/>
        <v>24</v>
      </c>
      <c r="D96" s="63" t="str">
        <f t="shared" ref="D96:M96" si="52">IF(AND(D$9&gt;($C96),D$9&lt;($C96+6)), D68-C68,"")</f>
        <v/>
      </c>
      <c r="E96" s="63" t="str">
        <f t="shared" si="52"/>
        <v/>
      </c>
      <c r="F96" s="63" t="str">
        <f t="shared" si="52"/>
        <v/>
      </c>
      <c r="G96" s="63" t="str">
        <f t="shared" si="52"/>
        <v/>
      </c>
      <c r="H96" s="63" t="str">
        <f t="shared" si="52"/>
        <v/>
      </c>
      <c r="I96" s="63" t="str">
        <f t="shared" si="52"/>
        <v/>
      </c>
      <c r="J96" s="63" t="str">
        <f t="shared" si="52"/>
        <v/>
      </c>
      <c r="K96" s="63" t="str">
        <f t="shared" si="52"/>
        <v/>
      </c>
      <c r="L96" s="63" t="str">
        <f t="shared" si="52"/>
        <v/>
      </c>
      <c r="M96" s="63" t="str">
        <f t="shared" si="52"/>
        <v/>
      </c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</row>
    <row r="97" spans="3:27" hidden="1" outlineLevel="1" x14ac:dyDescent="0.35"/>
    <row r="98" spans="3:27" collapsed="1" x14ac:dyDescent="0.35">
      <c r="C98" t="s">
        <v>83</v>
      </c>
      <c r="D98" s="63">
        <f t="shared" ref="D98:M98" si="53">SUM(D73:D96)</f>
        <v>0</v>
      </c>
      <c r="E98" s="63">
        <f t="shared" si="53"/>
        <v>-403.00000000000011</v>
      </c>
      <c r="F98" s="63">
        <f t="shared" si="53"/>
        <v>-620</v>
      </c>
      <c r="G98" s="63">
        <f t="shared" si="53"/>
        <v>-1049.0000000000002</v>
      </c>
      <c r="H98" s="63">
        <f t="shared" si="53"/>
        <v>-1270.1500000000001</v>
      </c>
      <c r="I98" s="63">
        <f t="shared" si="53"/>
        <v>-1433.8575000000003</v>
      </c>
      <c r="J98" s="63">
        <f t="shared" si="53"/>
        <v>-1649.550375</v>
      </c>
      <c r="K98" s="63">
        <f t="shared" si="53"/>
        <v>-1732.0278937500002</v>
      </c>
      <c r="L98" s="63">
        <f t="shared" si="53"/>
        <v>-1818.6292884375005</v>
      </c>
      <c r="M98" s="63">
        <f t="shared" si="53"/>
        <v>-1909.5607528593753</v>
      </c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</row>
    <row r="100" spans="3:27" x14ac:dyDescent="0.35">
      <c r="C100" t="s">
        <v>84</v>
      </c>
      <c r="D100" s="61">
        <f>D98/D13</f>
        <v>0</v>
      </c>
      <c r="E100" s="61">
        <f>E98/E13</f>
        <v>-0.13910942354159478</v>
      </c>
      <c r="F100" s="61">
        <f t="shared" ref="F100:M100" si="54">F98/F13</f>
        <v>-0.11117088040164963</v>
      </c>
      <c r="G100" s="61">
        <f t="shared" si="54"/>
        <v>-0.13123983485549859</v>
      </c>
      <c r="H100" s="61">
        <f t="shared" si="54"/>
        <v>-0.12258833521537289</v>
      </c>
      <c r="I100" s="61">
        <f t="shared" si="54"/>
        <v>-0.1124823052221217</v>
      </c>
      <c r="J100" s="61">
        <f t="shared" si="54"/>
        <v>-0.10917649204405161</v>
      </c>
      <c r="K100" s="61">
        <f t="shared" si="54"/>
        <v>-9.8473752066079265E-2</v>
      </c>
      <c r="L100" s="61">
        <f t="shared" si="54"/>
        <v>-9.0064981486698462E-2</v>
      </c>
      <c r="M100" s="61">
        <f t="shared" si="54"/>
        <v>-8.3291334791467567E-2</v>
      </c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</row>
    <row r="101" spans="3:27" x14ac:dyDescent="0.35">
      <c r="C101" t="s">
        <v>222</v>
      </c>
      <c r="D101" s="61">
        <f t="shared" ref="D101:M101" si="55">D11/D13</f>
        <v>1</v>
      </c>
      <c r="E101" s="61">
        <f t="shared" si="55"/>
        <v>0.69036934760096647</v>
      </c>
      <c r="F101" s="61">
        <f t="shared" si="55"/>
        <v>0.59171597633136097</v>
      </c>
      <c r="G101" s="61">
        <f t="shared" si="55"/>
        <v>0.43350431627674213</v>
      </c>
      <c r="H101" s="61">
        <f t="shared" si="55"/>
        <v>0.35114514868112456</v>
      </c>
      <c r="I101" s="61">
        <f t="shared" si="55"/>
        <v>0.29968158225144642</v>
      </c>
      <c r="J101" s="61">
        <f t="shared" si="55"/>
        <v>0.26548176064501583</v>
      </c>
      <c r="K101" s="61">
        <f t="shared" si="55"/>
        <v>0.23945617400195507</v>
      </c>
      <c r="L101" s="61">
        <f t="shared" si="55"/>
        <v>0.21900877569781016</v>
      </c>
      <c r="M101" s="61">
        <f t="shared" si="55"/>
        <v>0.20253746747963081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6143-DF7C-4B08-A768-A1BFCBA79751}">
  <dimension ref="B3:O37"/>
  <sheetViews>
    <sheetView workbookViewId="0">
      <selection activeCell="E3" sqref="E3"/>
    </sheetView>
  </sheetViews>
  <sheetFormatPr defaultRowHeight="14.5" outlineLevelRow="1" x14ac:dyDescent="0.35"/>
  <cols>
    <col min="3" max="3" width="23.08984375" bestFit="1" customWidth="1"/>
    <col min="4" max="4" width="18.54296875" bestFit="1" customWidth="1"/>
    <col min="5" max="5" width="12.90625" bestFit="1" customWidth="1"/>
    <col min="6" max="6" width="10.81640625" bestFit="1" customWidth="1"/>
    <col min="7" max="7" width="12.08984375" bestFit="1" customWidth="1"/>
    <col min="8" max="8" width="12.81640625" bestFit="1" customWidth="1"/>
    <col min="9" max="11" width="11.54296875" bestFit="1" customWidth="1"/>
    <col min="12" max="15" width="12.36328125" bestFit="1" customWidth="1"/>
    <col min="16" max="16" width="13.453125" bestFit="1" customWidth="1"/>
  </cols>
  <sheetData>
    <row r="3" spans="2:15" ht="15.5" x14ac:dyDescent="0.35">
      <c r="C3" t="s">
        <v>104</v>
      </c>
      <c r="E3" s="49">
        <v>0.05</v>
      </c>
      <c r="G3" s="56" t="s">
        <v>89</v>
      </c>
      <c r="H3" s="57" t="s">
        <v>216</v>
      </c>
    </row>
    <row r="4" spans="2:15" ht="15.5" x14ac:dyDescent="0.35">
      <c r="B4" t="s">
        <v>73</v>
      </c>
      <c r="C4" t="s">
        <v>72</v>
      </c>
      <c r="E4" s="49">
        <v>0.05</v>
      </c>
      <c r="G4" s="56">
        <v>1</v>
      </c>
      <c r="H4" s="58">
        <v>0.56000000000000005</v>
      </c>
    </row>
    <row r="5" spans="2:15" ht="15.5" x14ac:dyDescent="0.35">
      <c r="C5" t="s">
        <v>223</v>
      </c>
      <c r="E5" s="49">
        <v>0.02</v>
      </c>
      <c r="G5" s="56">
        <f>G4+1</f>
        <v>2</v>
      </c>
      <c r="H5" s="58">
        <v>0.25</v>
      </c>
    </row>
    <row r="6" spans="2:15" ht="15.5" x14ac:dyDescent="0.35">
      <c r="G6" s="56">
        <f>G5+1</f>
        <v>3</v>
      </c>
      <c r="H6" s="58">
        <v>0.25</v>
      </c>
    </row>
    <row r="7" spans="2:15" ht="15.5" x14ac:dyDescent="0.35">
      <c r="G7" s="56">
        <f>G6+1</f>
        <v>4</v>
      </c>
      <c r="H7" s="58">
        <v>0.23</v>
      </c>
    </row>
    <row r="8" spans="2:15" ht="15.5" x14ac:dyDescent="0.35">
      <c r="D8" t="s">
        <v>225</v>
      </c>
      <c r="E8" t="s">
        <v>75</v>
      </c>
      <c r="F8" s="47"/>
      <c r="G8" s="56">
        <f>G7+1</f>
        <v>5</v>
      </c>
      <c r="H8" s="58">
        <v>0.11</v>
      </c>
    </row>
    <row r="9" spans="2:15" ht="15.5" x14ac:dyDescent="0.35">
      <c r="C9" t="s">
        <v>68</v>
      </c>
      <c r="D9" s="50">
        <v>100</v>
      </c>
      <c r="E9" s="52">
        <v>0.6</v>
      </c>
      <c r="F9" s="47"/>
      <c r="G9" s="56">
        <f>G8+1</f>
        <v>6</v>
      </c>
      <c r="H9" s="58">
        <v>0.11</v>
      </c>
    </row>
    <row r="10" spans="2:15" x14ac:dyDescent="0.35">
      <c r="C10" t="s">
        <v>69</v>
      </c>
      <c r="D10" s="50">
        <v>120</v>
      </c>
      <c r="E10" s="52">
        <v>0.3</v>
      </c>
      <c r="F10" s="47"/>
    </row>
    <row r="11" spans="2:15" x14ac:dyDescent="0.35">
      <c r="C11" t="s">
        <v>70</v>
      </c>
      <c r="D11" s="50">
        <v>140</v>
      </c>
      <c r="E11" s="52">
        <f>1- SUM(E9:E10)</f>
        <v>0.10000000000000009</v>
      </c>
      <c r="F11" s="47"/>
    </row>
    <row r="15" spans="2:15" x14ac:dyDescent="0.35">
      <c r="O15" s="96"/>
    </row>
    <row r="21" spans="3:10" x14ac:dyDescent="0.35">
      <c r="C21" s="96" t="s">
        <v>258</v>
      </c>
      <c r="D21" s="96"/>
      <c r="G21" s="96" t="s">
        <v>257</v>
      </c>
      <c r="H21" s="96"/>
      <c r="I21" s="96"/>
    </row>
    <row r="22" spans="3:10" x14ac:dyDescent="0.35">
      <c r="C22" t="s">
        <v>229</v>
      </c>
      <c r="D22">
        <v>2000</v>
      </c>
      <c r="G22" t="s">
        <v>294</v>
      </c>
      <c r="H22" t="s">
        <v>227</v>
      </c>
      <c r="I22" t="s">
        <v>260</v>
      </c>
      <c r="J22" t="s">
        <v>228</v>
      </c>
    </row>
    <row r="23" spans="3:10" x14ac:dyDescent="0.35">
      <c r="C23" t="s">
        <v>230</v>
      </c>
      <c r="D23">
        <v>150</v>
      </c>
      <c r="G23" s="17" t="s">
        <v>252</v>
      </c>
      <c r="H23">
        <v>40</v>
      </c>
      <c r="I23">
        <v>8</v>
      </c>
      <c r="J23">
        <f t="shared" ref="J23:J30" si="0">H23*I23</f>
        <v>320</v>
      </c>
    </row>
    <row r="24" spans="3:10" x14ac:dyDescent="0.35">
      <c r="C24" t="s">
        <v>231</v>
      </c>
      <c r="D24">
        <v>100</v>
      </c>
      <c r="G24" s="17" t="s">
        <v>253</v>
      </c>
      <c r="H24">
        <v>50</v>
      </c>
      <c r="I24">
        <v>4</v>
      </c>
      <c r="J24">
        <f t="shared" si="0"/>
        <v>200</v>
      </c>
    </row>
    <row r="25" spans="3:10" x14ac:dyDescent="0.35">
      <c r="C25" t="s">
        <v>232</v>
      </c>
      <c r="D25">
        <v>150</v>
      </c>
      <c r="G25" s="17" t="s">
        <v>261</v>
      </c>
      <c r="H25">
        <v>89.99</v>
      </c>
      <c r="I25">
        <v>4</v>
      </c>
      <c r="J25">
        <f t="shared" si="0"/>
        <v>359.96</v>
      </c>
    </row>
    <row r="26" spans="3:10" x14ac:dyDescent="0.35">
      <c r="C26" t="s">
        <v>233</v>
      </c>
      <c r="D26">
        <v>50</v>
      </c>
      <c r="G26" s="17" t="s">
        <v>254</v>
      </c>
      <c r="H26">
        <v>25</v>
      </c>
      <c r="I26">
        <v>1</v>
      </c>
      <c r="J26">
        <f t="shared" si="0"/>
        <v>25</v>
      </c>
    </row>
    <row r="27" spans="3:10" x14ac:dyDescent="0.35">
      <c r="C27" t="s">
        <v>234</v>
      </c>
      <c r="D27">
        <v>150</v>
      </c>
      <c r="G27" s="17" t="s">
        <v>262</v>
      </c>
      <c r="H27">
        <v>89.99</v>
      </c>
      <c r="I27">
        <v>4</v>
      </c>
      <c r="J27">
        <f t="shared" si="0"/>
        <v>359.96</v>
      </c>
    </row>
    <row r="28" spans="3:10" x14ac:dyDescent="0.35">
      <c r="C28" t="s">
        <v>235</v>
      </c>
      <c r="D28">
        <v>100</v>
      </c>
      <c r="G28" s="17" t="s">
        <v>263</v>
      </c>
      <c r="H28">
        <v>200</v>
      </c>
      <c r="I28">
        <v>1</v>
      </c>
      <c r="J28">
        <f t="shared" si="0"/>
        <v>200</v>
      </c>
    </row>
    <row r="29" spans="3:10" x14ac:dyDescent="0.35">
      <c r="C29" t="s">
        <v>240</v>
      </c>
      <c r="D29">
        <v>250</v>
      </c>
      <c r="G29" s="17" t="s">
        <v>255</v>
      </c>
      <c r="H29">
        <v>8</v>
      </c>
      <c r="I29">
        <v>23</v>
      </c>
      <c r="J29">
        <f t="shared" si="0"/>
        <v>184</v>
      </c>
    </row>
    <row r="30" spans="3:10" x14ac:dyDescent="0.35">
      <c r="C30" t="s">
        <v>236</v>
      </c>
      <c r="D30">
        <v>300</v>
      </c>
      <c r="G30" s="17" t="s">
        <v>256</v>
      </c>
      <c r="H30">
        <v>50</v>
      </c>
      <c r="I30">
        <v>11</v>
      </c>
      <c r="J30">
        <f t="shared" si="0"/>
        <v>550</v>
      </c>
    </row>
    <row r="31" spans="3:10" x14ac:dyDescent="0.35">
      <c r="C31" s="97" t="s">
        <v>0</v>
      </c>
      <c r="D31" s="97">
        <f>SUM(D22:D30)</f>
        <v>3250</v>
      </c>
      <c r="G31" s="97" t="s">
        <v>0</v>
      </c>
      <c r="H31" s="97">
        <f>SUM(H23:H30)</f>
        <v>552.98</v>
      </c>
      <c r="I31" s="97">
        <v>1000</v>
      </c>
      <c r="J31" s="97">
        <f>SUM(J23:J30)</f>
        <v>2198.92</v>
      </c>
    </row>
    <row r="34" outlineLevel="1" x14ac:dyDescent="0.35"/>
    <row r="35" outlineLevel="1" x14ac:dyDescent="0.35"/>
    <row r="36" outlineLevel="1" x14ac:dyDescent="0.35"/>
    <row r="37" outlineLevel="1" x14ac:dyDescent="0.35"/>
  </sheetData>
  <phoneticPr fontId="3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E868-D685-4D1A-A3A9-0751890CF24A}">
  <dimension ref="A1"/>
  <sheetViews>
    <sheetView workbookViewId="0"/>
  </sheetViews>
  <sheetFormatPr defaultRowHeight="14.5" x14ac:dyDescent="0.35"/>
  <sheetData>
    <row r="1" spans="1:1" x14ac:dyDescent="0.35">
      <c r="A1" t="s">
        <v>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2193-18E8-4418-ACF9-8308DA112A43}">
  <dimension ref="A3:Q142"/>
  <sheetViews>
    <sheetView tabSelected="1" zoomScale="82" zoomScaleNormal="82" workbookViewId="0">
      <selection activeCell="N1" sqref="N1"/>
    </sheetView>
  </sheetViews>
  <sheetFormatPr defaultRowHeight="14.5" outlineLevelRow="2" x14ac:dyDescent="0.35"/>
  <cols>
    <col min="2" max="2" width="1.7265625" bestFit="1" customWidth="1"/>
    <col min="3" max="3" width="28.453125" bestFit="1" customWidth="1"/>
    <col min="4" max="15" width="12.1796875" bestFit="1" customWidth="1"/>
    <col min="16" max="16" width="1.90625" bestFit="1" customWidth="1"/>
  </cols>
  <sheetData>
    <row r="3" spans="1:17" x14ac:dyDescent="0.35">
      <c r="B3" t="s">
        <v>10</v>
      </c>
      <c r="C3" s="6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7" x14ac:dyDescent="0.35">
      <c r="D4" s="9" t="s">
        <v>241</v>
      </c>
      <c r="E4" s="9" t="s">
        <v>241</v>
      </c>
      <c r="F4" s="9" t="s">
        <v>241</v>
      </c>
      <c r="G4" s="44" t="s">
        <v>242</v>
      </c>
      <c r="H4" s="44" t="s">
        <v>242</v>
      </c>
      <c r="I4" s="44" t="s">
        <v>242</v>
      </c>
      <c r="J4" s="44" t="s">
        <v>242</v>
      </c>
      <c r="K4" s="44" t="s">
        <v>242</v>
      </c>
      <c r="L4" s="44" t="s">
        <v>242</v>
      </c>
      <c r="M4" s="44" t="s">
        <v>242</v>
      </c>
      <c r="N4" s="44" t="s">
        <v>242</v>
      </c>
      <c r="O4" s="44" t="s">
        <v>242</v>
      </c>
      <c r="P4" s="44"/>
    </row>
    <row r="5" spans="1:17" x14ac:dyDescent="0.35">
      <c r="C5" s="10" t="s">
        <v>85</v>
      </c>
      <c r="D5" s="106">
        <v>1</v>
      </c>
      <c r="E5" s="106">
        <v>2</v>
      </c>
      <c r="F5" s="106">
        <v>3</v>
      </c>
      <c r="G5" s="106">
        <v>4</v>
      </c>
      <c r="H5" s="106">
        <v>5</v>
      </c>
      <c r="I5" s="106">
        <v>6</v>
      </c>
      <c r="J5" s="106">
        <v>7</v>
      </c>
      <c r="K5" s="106">
        <v>8</v>
      </c>
      <c r="L5" s="106">
        <v>9</v>
      </c>
      <c r="M5" s="106">
        <v>10</v>
      </c>
      <c r="N5" s="106">
        <v>11</v>
      </c>
      <c r="O5" s="106">
        <v>12</v>
      </c>
      <c r="P5" s="11"/>
    </row>
    <row r="6" spans="1:17" x14ac:dyDescent="0.35">
      <c r="A6" t="s">
        <v>295</v>
      </c>
      <c r="B6" t="s">
        <v>10</v>
      </c>
      <c r="C6" s="87" t="s">
        <v>102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7" outlineLevel="1" x14ac:dyDescent="0.35">
      <c r="C7" s="86" t="s">
        <v>103</v>
      </c>
      <c r="D7" s="65">
        <f>(1.3*10^6)</f>
        <v>1300000</v>
      </c>
      <c r="E7" s="65">
        <f>(2*10^6)</f>
        <v>2000000</v>
      </c>
      <c r="F7" s="65">
        <f>3.3*10 ^6</f>
        <v>3300000</v>
      </c>
      <c r="G7" s="54">
        <f>F7*(1+ModelDrivers!$E$3)</f>
        <v>3465000</v>
      </c>
      <c r="H7" s="54">
        <f>G7*(1+ModelDrivers!$E$3)</f>
        <v>3638250</v>
      </c>
      <c r="I7" s="54">
        <f>H7*(1+ModelDrivers!$E$3)</f>
        <v>3820162.5</v>
      </c>
      <c r="J7" s="54">
        <f>I7*(1+ModelDrivers!$E$3)</f>
        <v>4011170.625</v>
      </c>
      <c r="K7" s="54">
        <f>J7*(1+ModelDrivers!$E$3)</f>
        <v>4211729.15625</v>
      </c>
      <c r="L7" s="54">
        <f>K7*(1+ModelDrivers!$E$3)</f>
        <v>4422315.6140625002</v>
      </c>
      <c r="M7" s="54">
        <f>L7*(1+ModelDrivers!$E$3)</f>
        <v>4643431.3947656257</v>
      </c>
      <c r="N7" s="54">
        <f>M7*(1+ModelDrivers!$E$3)</f>
        <v>4875602.9645039076</v>
      </c>
      <c r="O7" s="54">
        <f>N7*(1+ModelDrivers!$E$3)</f>
        <v>5119383.1127291033</v>
      </c>
      <c r="P7" s="54"/>
    </row>
    <row r="8" spans="1:17" outlineLevel="1" x14ac:dyDescent="0.35">
      <c r="C8" t="s">
        <v>105</v>
      </c>
      <c r="E8" s="64">
        <f t="shared" ref="E8:O8" si="0">(E7/D7)-1</f>
        <v>0.53846153846153855</v>
      </c>
      <c r="F8" s="64">
        <f t="shared" si="0"/>
        <v>0.64999999999999991</v>
      </c>
      <c r="G8" s="64">
        <f t="shared" si="0"/>
        <v>5.0000000000000044E-2</v>
      </c>
      <c r="H8" s="64">
        <f t="shared" si="0"/>
        <v>5.0000000000000044E-2</v>
      </c>
      <c r="I8" s="64">
        <f t="shared" si="0"/>
        <v>5.0000000000000044E-2</v>
      </c>
      <c r="J8" s="64">
        <f t="shared" si="0"/>
        <v>5.0000000000000044E-2</v>
      </c>
      <c r="K8" s="64">
        <f t="shared" si="0"/>
        <v>5.0000000000000044E-2</v>
      </c>
      <c r="L8" s="64">
        <f t="shared" si="0"/>
        <v>5.0000000000000044E-2</v>
      </c>
      <c r="M8" s="64">
        <f t="shared" si="0"/>
        <v>5.0000000000000044E-2</v>
      </c>
      <c r="N8" s="64">
        <f t="shared" si="0"/>
        <v>5.0000000000000044E-2</v>
      </c>
      <c r="O8" s="64">
        <f t="shared" si="0"/>
        <v>5.0000000000000044E-2</v>
      </c>
      <c r="P8" s="64"/>
      <c r="Q8" s="10" t="s">
        <v>248</v>
      </c>
    </row>
    <row r="9" spans="1:17" outlineLevel="1" x14ac:dyDescent="0.35">
      <c r="C9" t="s">
        <v>305</v>
      </c>
      <c r="D9" s="46">
        <f>ModelDrivers!E4</f>
        <v>0.05</v>
      </c>
      <c r="E9" s="46">
        <f t="shared" ref="E9:O9" si="1">D9</f>
        <v>0.05</v>
      </c>
      <c r="F9" s="46">
        <f t="shared" si="1"/>
        <v>0.05</v>
      </c>
      <c r="G9" s="46">
        <f t="shared" si="1"/>
        <v>0.05</v>
      </c>
      <c r="H9" s="46">
        <f t="shared" si="1"/>
        <v>0.05</v>
      </c>
      <c r="I9" s="46">
        <f t="shared" si="1"/>
        <v>0.05</v>
      </c>
      <c r="J9" s="46">
        <f t="shared" si="1"/>
        <v>0.05</v>
      </c>
      <c r="K9" s="46">
        <f t="shared" si="1"/>
        <v>0.05</v>
      </c>
      <c r="L9" s="46">
        <f t="shared" si="1"/>
        <v>0.05</v>
      </c>
      <c r="M9" s="46">
        <f t="shared" si="1"/>
        <v>0.05</v>
      </c>
      <c r="N9" s="46">
        <f t="shared" si="1"/>
        <v>0.05</v>
      </c>
      <c r="O9" s="46">
        <f t="shared" si="1"/>
        <v>0.05</v>
      </c>
      <c r="P9" s="46"/>
      <c r="Q9" s="10"/>
    </row>
    <row r="10" spans="1:17" outlineLevel="1" x14ac:dyDescent="0.35">
      <c r="Q10" s="10"/>
    </row>
    <row r="11" spans="1:17" outlineLevel="1" x14ac:dyDescent="0.35">
      <c r="C11" t="s">
        <v>306</v>
      </c>
      <c r="D11" s="47">
        <f t="shared" ref="D11:O11" si="2">D7*D$9</f>
        <v>65000</v>
      </c>
      <c r="E11" s="47">
        <f t="shared" si="2"/>
        <v>100000</v>
      </c>
      <c r="F11" s="47">
        <f t="shared" si="2"/>
        <v>165000</v>
      </c>
      <c r="G11" s="47">
        <f t="shared" si="2"/>
        <v>173250</v>
      </c>
      <c r="H11" s="47">
        <f t="shared" si="2"/>
        <v>181912.5</v>
      </c>
      <c r="I11" s="47">
        <f t="shared" si="2"/>
        <v>191008.125</v>
      </c>
      <c r="J11" s="47">
        <f t="shared" si="2"/>
        <v>200558.53125</v>
      </c>
      <c r="K11" s="47">
        <f t="shared" si="2"/>
        <v>210586.45781250001</v>
      </c>
      <c r="L11" s="47">
        <f t="shared" si="2"/>
        <v>221115.78070312503</v>
      </c>
      <c r="M11" s="47">
        <f t="shared" si="2"/>
        <v>232171.56973828131</v>
      </c>
      <c r="N11" s="47">
        <f t="shared" si="2"/>
        <v>243780.14822519539</v>
      </c>
      <c r="O11" s="47">
        <f t="shared" si="2"/>
        <v>255969.15563645517</v>
      </c>
      <c r="P11" s="47"/>
      <c r="Q11" s="10"/>
    </row>
    <row r="12" spans="1:17" outlineLevel="1" x14ac:dyDescent="0.35"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</row>
    <row r="13" spans="1:17" outlineLevel="1" x14ac:dyDescent="0.35">
      <c r="C13" t="s">
        <v>223</v>
      </c>
      <c r="D13" s="46">
        <f>ModelDrivers!E5</f>
        <v>0.02</v>
      </c>
      <c r="E13" s="46">
        <f t="shared" ref="E13:O13" si="3">D13</f>
        <v>0.02</v>
      </c>
      <c r="F13" s="46">
        <f t="shared" si="3"/>
        <v>0.02</v>
      </c>
      <c r="G13" s="46">
        <f t="shared" si="3"/>
        <v>0.02</v>
      </c>
      <c r="H13" s="46">
        <f t="shared" si="3"/>
        <v>0.02</v>
      </c>
      <c r="I13" s="46">
        <f t="shared" si="3"/>
        <v>0.02</v>
      </c>
      <c r="J13" s="46">
        <f t="shared" si="3"/>
        <v>0.02</v>
      </c>
      <c r="K13" s="46">
        <f t="shared" si="3"/>
        <v>0.02</v>
      </c>
      <c r="L13" s="46">
        <f t="shared" si="3"/>
        <v>0.02</v>
      </c>
      <c r="M13" s="46">
        <f t="shared" si="3"/>
        <v>0.02</v>
      </c>
      <c r="N13" s="46">
        <f t="shared" si="3"/>
        <v>0.02</v>
      </c>
      <c r="O13" s="46">
        <f t="shared" si="3"/>
        <v>0.02</v>
      </c>
      <c r="P13" s="46"/>
      <c r="Q13" s="10" t="s">
        <v>249</v>
      </c>
    </row>
    <row r="14" spans="1:17" outlineLevel="1" x14ac:dyDescent="0.35"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</row>
    <row r="15" spans="1:17" outlineLevel="1" x14ac:dyDescent="0.35">
      <c r="C15" t="s">
        <v>66</v>
      </c>
      <c r="D15" s="47">
        <f t="shared" ref="D15:O15" si="4">(D13)*D11</f>
        <v>1300</v>
      </c>
      <c r="E15" s="47">
        <f t="shared" si="4"/>
        <v>2000</v>
      </c>
      <c r="F15" s="47">
        <f t="shared" si="4"/>
        <v>3300</v>
      </c>
      <c r="G15" s="47">
        <f t="shared" si="4"/>
        <v>3465</v>
      </c>
      <c r="H15" s="47">
        <f>(H13)*H11</f>
        <v>3638.25</v>
      </c>
      <c r="I15" s="47">
        <f t="shared" ref="I15:O15" si="5">(I13)*I11</f>
        <v>3820.1624999999999</v>
      </c>
      <c r="J15" s="47">
        <f t="shared" si="5"/>
        <v>4011.1706250000002</v>
      </c>
      <c r="K15" s="47">
        <f t="shared" si="5"/>
        <v>4211.7291562500004</v>
      </c>
      <c r="L15" s="47">
        <f t="shared" si="5"/>
        <v>4422.3156140625006</v>
      </c>
      <c r="M15" s="47">
        <f t="shared" si="5"/>
        <v>4643.4313947656265</v>
      </c>
      <c r="N15" s="47">
        <f t="shared" si="5"/>
        <v>4875.602964503908</v>
      </c>
      <c r="O15" s="47">
        <f t="shared" si="5"/>
        <v>5119.3831127291032</v>
      </c>
      <c r="P15" s="47"/>
    </row>
    <row r="16" spans="1:17" outlineLevel="1" x14ac:dyDescent="0.35"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</row>
    <row r="17" spans="2:16" outlineLevel="1" x14ac:dyDescent="0.35">
      <c r="C17" t="s">
        <v>79</v>
      </c>
      <c r="D17" s="107">
        <f>D15</f>
        <v>1300</v>
      </c>
      <c r="E17" s="108">
        <f>(E15+D17) +E107</f>
        <v>2897</v>
      </c>
      <c r="F17" s="108">
        <f>(F15+E17) +F107</f>
        <v>5577</v>
      </c>
      <c r="G17" s="108">
        <f t="shared" ref="E17:O17" si="6">(G15+F17) +G107</f>
        <v>7993</v>
      </c>
      <c r="H17" s="108">
        <f t="shared" si="6"/>
        <v>10361.1</v>
      </c>
      <c r="I17" s="108">
        <f t="shared" si="6"/>
        <v>12747.405000000001</v>
      </c>
      <c r="J17" s="108">
        <f t="shared" si="6"/>
        <v>15109.025250000001</v>
      </c>
      <c r="K17" s="108">
        <f t="shared" si="6"/>
        <v>17588.726512500001</v>
      </c>
      <c r="L17" s="108">
        <f t="shared" si="6"/>
        <v>20192.412838125001</v>
      </c>
      <c r="M17" s="108">
        <f t="shared" si="6"/>
        <v>22926.283480031252</v>
      </c>
      <c r="N17" s="108">
        <f t="shared" si="6"/>
        <v>25796.847654032816</v>
      </c>
      <c r="O17" s="108">
        <f t="shared" si="6"/>
        <v>28810.940036734457</v>
      </c>
      <c r="P17" s="47"/>
    </row>
    <row r="18" spans="2:16" hidden="1" outlineLevel="2" x14ac:dyDescent="0.35">
      <c r="N18" s="47"/>
      <c r="O18" s="47"/>
      <c r="P18" s="47"/>
    </row>
    <row r="19" spans="2:16" hidden="1" outlineLevel="2" x14ac:dyDescent="0.35">
      <c r="N19" s="47"/>
      <c r="O19" s="47"/>
      <c r="P19" s="47"/>
    </row>
    <row r="20" spans="2:16" hidden="1" outlineLevel="2" x14ac:dyDescent="0.35">
      <c r="H20" s="61"/>
      <c r="I20" s="61"/>
      <c r="J20" s="61"/>
      <c r="K20" s="61"/>
      <c r="N20" s="47"/>
      <c r="O20" s="47"/>
      <c r="P20" s="47"/>
    </row>
    <row r="21" spans="2:16" ht="15.5" hidden="1" outlineLevel="2" x14ac:dyDescent="0.35">
      <c r="B21" t="s">
        <v>10</v>
      </c>
      <c r="C21" s="60" t="s">
        <v>80</v>
      </c>
      <c r="H21" s="61"/>
      <c r="I21" s="61"/>
      <c r="J21" s="61"/>
      <c r="K21" s="61"/>
      <c r="L21" s="61"/>
      <c r="M21" s="61"/>
      <c r="N21" s="47"/>
      <c r="O21" s="47"/>
      <c r="P21" s="47"/>
    </row>
    <row r="22" spans="2:16" hidden="1" outlineLevel="2" x14ac:dyDescent="0.35">
      <c r="C22" s="57">
        <v>1</v>
      </c>
      <c r="D22" s="61">
        <f>ChurnMatrix!E5</f>
        <v>0.56000000000000005</v>
      </c>
      <c r="E22" s="61">
        <f>ChurnMatrix!F5</f>
        <v>0.25</v>
      </c>
      <c r="F22" s="61">
        <f>ChurnMatrix!G5</f>
        <v>0.25</v>
      </c>
      <c r="G22" s="61">
        <f>ChurnMatrix!H5</f>
        <v>0.23</v>
      </c>
      <c r="H22" s="61">
        <f>ChurnMatrix!I5</f>
        <v>0.11</v>
      </c>
      <c r="I22" s="61">
        <f>ChurnMatrix!J5</f>
        <v>0.11</v>
      </c>
      <c r="J22" s="61"/>
      <c r="K22" s="61"/>
      <c r="L22" s="61"/>
      <c r="M22" s="61"/>
      <c r="N22" s="47"/>
      <c r="O22" s="47"/>
      <c r="P22" s="47"/>
    </row>
    <row r="23" spans="2:16" hidden="1" outlineLevel="2" x14ac:dyDescent="0.35">
      <c r="C23" s="57">
        <f t="shared" ref="C23:C45" si="7">C22+1</f>
        <v>2</v>
      </c>
      <c r="D23" s="61" t="str">
        <f>IF(OR(D$5&gt;($C23+5),(D$5-$C23)&lt;0),"",_xlfn.XLOOKUP(D$5-$C22,ModelDrivers!$G$4:$G$9,ModelDrivers!$H$4:$H$9))</f>
        <v/>
      </c>
      <c r="E23" s="61">
        <f>IF(OR(E$5&gt;($C23+5),(E$5-$C23)&lt;0),"",_xlfn.XLOOKUP(E$5-$C22,ModelDrivers!$G$4:$G$9,ModelDrivers!$H$4:$H$9))</f>
        <v>0.56000000000000005</v>
      </c>
      <c r="F23" s="61">
        <f>IF(OR(F$5&gt;($C23+5),(F$5-$C23)&lt;0),"",_xlfn.XLOOKUP(F$5-$C22,ModelDrivers!$G$4:$G$9,ModelDrivers!$H$4:$H$9))</f>
        <v>0.25</v>
      </c>
      <c r="G23" s="61">
        <f>IF(OR(G$5&gt;($C23+5),(G$5-$C23)&lt;0),"",_xlfn.XLOOKUP(G$5-$C22,ModelDrivers!$G$4:$G$9,ModelDrivers!$H$4:$H$9))</f>
        <v>0.25</v>
      </c>
      <c r="H23" s="61">
        <f>IF(OR(H$5&gt;($C23+5),(H$5-$C23)&lt;0),"",_xlfn.XLOOKUP(H$5-$C22,ModelDrivers!$G$4:$G$9,ModelDrivers!$H$4:$H$9))</f>
        <v>0.23</v>
      </c>
      <c r="I23" s="61">
        <f>IF(OR(I$5&gt;($C23+5),(I$5-$C23)&lt;0),"",_xlfn.XLOOKUP(I$5-$C22,ModelDrivers!$G$4:$G$9,ModelDrivers!$H$4:$H$9))</f>
        <v>0.11</v>
      </c>
      <c r="J23" s="61">
        <f>IF(OR(J$5&gt;($C23+5),(J$5-$C23)&lt;0),"",_xlfn.XLOOKUP(J$5-$C22,ModelDrivers!$G$4:$G$9,ModelDrivers!$H$4:$H$9))</f>
        <v>0.11</v>
      </c>
      <c r="K23" s="61" t="str">
        <f>IF(OR(K$5&gt;($C23+5),(K$5-$C23)&lt;0),"",_xlfn.XLOOKUP(K$5-$C22,ModelDrivers!$G$4:$G$9,ModelDrivers!$H$4:$H$9))</f>
        <v/>
      </c>
      <c r="L23" s="61" t="str">
        <f>IF(OR(L$5&gt;($C23+5),(L$5-$C23)&lt;0),"",_xlfn.XLOOKUP(L$5-$C22,ModelDrivers!$G$4:$G$9,ModelDrivers!$H$4:$H$9))</f>
        <v/>
      </c>
      <c r="M23" s="61" t="str">
        <f>IF(OR(M$5&gt;($C23+5),(M$5-$C23)&lt;0),"",_xlfn.XLOOKUP(M$5-$C22,ModelDrivers!$G$4:$G$9,ModelDrivers!$H$4:$H$9))</f>
        <v/>
      </c>
      <c r="N23" s="61" t="str">
        <f>IF(OR(N$5&gt;($C23+5),(N$5-$C23)&lt;0),"",_xlfn.XLOOKUP(N$5-$C22,ModelDrivers!$G$4:$G$9,ModelDrivers!$H$4:$H$9))</f>
        <v/>
      </c>
      <c r="O23" s="61" t="str">
        <f>IF(OR(O$5&gt;($C23+5),(O$5-$C23)&lt;0),"",_xlfn.XLOOKUP(O$5-$C22,ModelDrivers!$G$4:$G$9,ModelDrivers!$H$4:$H$9))</f>
        <v/>
      </c>
      <c r="P23" s="47"/>
    </row>
    <row r="24" spans="2:16" hidden="1" outlineLevel="2" x14ac:dyDescent="0.35">
      <c r="C24" s="57">
        <f t="shared" si="7"/>
        <v>3</v>
      </c>
      <c r="D24" s="61" t="str">
        <f>IF(OR(D$5&gt;($C24+5),(D$5-$C24)&lt;0),"",_xlfn.XLOOKUP(D$5-$C23,ModelDrivers!$G$4:$G$9,ModelDrivers!$H$4:$H$9))</f>
        <v/>
      </c>
      <c r="E24" s="61" t="str">
        <f>IF(OR(E$5&gt;($C24+5),(E$5-$C24)&lt;0),"",_xlfn.XLOOKUP(E$5-$C23,ModelDrivers!$G$4:$G$9,ModelDrivers!$H$4:$H$9))</f>
        <v/>
      </c>
      <c r="F24" s="61">
        <f>IF(OR(F$5&gt;($C24+5),(F$5-$C24)&lt;0),"",_xlfn.XLOOKUP(F$5-$C23,ModelDrivers!$G$4:$G$9,ModelDrivers!$H$4:$H$9))</f>
        <v>0.56000000000000005</v>
      </c>
      <c r="G24" s="61">
        <f>IF(OR(G$5&gt;($C24+5),(G$5-$C24)&lt;0),"",_xlfn.XLOOKUP(G$5-$C23,ModelDrivers!$G$4:$G$9,ModelDrivers!$H$4:$H$9))</f>
        <v>0.25</v>
      </c>
      <c r="H24" s="61">
        <f>IF(OR(H$5&gt;($C24+5),(H$5-$C24)&lt;0),"",_xlfn.XLOOKUP(H$5-$C23,ModelDrivers!$G$4:$G$9,ModelDrivers!$H$4:$H$9))</f>
        <v>0.25</v>
      </c>
      <c r="I24" s="61">
        <f>IF(OR(I$5&gt;($C24+5),(I$5-$C24)&lt;0),"",_xlfn.XLOOKUP(I$5-$C23,ModelDrivers!$G$4:$G$9,ModelDrivers!$H$4:$H$9))</f>
        <v>0.23</v>
      </c>
      <c r="J24" s="61">
        <f>IF(OR(J$5&gt;($C24+5),(J$5-$C24)&lt;0),"",_xlfn.XLOOKUP(J$5-$C23,ModelDrivers!$G$4:$G$9,ModelDrivers!$H$4:$H$9))</f>
        <v>0.11</v>
      </c>
      <c r="K24" s="61">
        <f>IF(OR(K$5&gt;($C24+5),(K$5-$C24)&lt;0),"",_xlfn.XLOOKUP(K$5-$C23,ModelDrivers!$G$4:$G$9,ModelDrivers!$H$4:$H$9))</f>
        <v>0.11</v>
      </c>
      <c r="L24" s="61" t="str">
        <f>IF(OR(L$5&gt;($C24+5),(L$5-$C24)&lt;0),"",_xlfn.XLOOKUP(L$5-$C23,ModelDrivers!$G$4:$G$9,ModelDrivers!$H$4:$H$9))</f>
        <v/>
      </c>
      <c r="M24" s="61" t="str">
        <f>IF(OR(M$5&gt;($C24+5),(M$5-$C24)&lt;0),"",_xlfn.XLOOKUP(M$5-$C23,ModelDrivers!$G$4:$G$9,ModelDrivers!$H$4:$H$9))</f>
        <v/>
      </c>
      <c r="N24" s="61" t="str">
        <f>IF(OR(N$5&gt;($C24+5),(N$5-$C24)&lt;0),"",_xlfn.XLOOKUP(N$5-$C23,ModelDrivers!$G$4:$G$9,ModelDrivers!$H$4:$H$9))</f>
        <v/>
      </c>
      <c r="O24" s="61" t="str">
        <f>IF(OR(O$5&gt;($C24+5),(O$5-$C24)&lt;0),"",_xlfn.XLOOKUP(O$5-$C23,ModelDrivers!$G$4:$G$9,ModelDrivers!$H$4:$H$9))</f>
        <v/>
      </c>
      <c r="P24" s="47"/>
    </row>
    <row r="25" spans="2:16" hidden="1" outlineLevel="2" x14ac:dyDescent="0.35">
      <c r="C25" s="57">
        <f t="shared" si="7"/>
        <v>4</v>
      </c>
      <c r="D25" s="61" t="str">
        <f>IF(OR(D$5&gt;($C25+5),(D$5-$C25)&lt;0),"",_xlfn.XLOOKUP(D$5-$C24,ModelDrivers!$G$4:$G$9,ModelDrivers!$H$4:$H$9))</f>
        <v/>
      </c>
      <c r="E25" s="61" t="str">
        <f>IF(OR(E$5&gt;($C25+5),(E$5-$C25)&lt;0),"",_xlfn.XLOOKUP(E$5-$C24,ModelDrivers!$G$4:$G$9,ModelDrivers!$H$4:$H$9))</f>
        <v/>
      </c>
      <c r="F25" s="61" t="str">
        <f>IF(OR(F$5&gt;($C25+5),(F$5-$C25)&lt;0),"",_xlfn.XLOOKUP(F$5-$C24,ModelDrivers!$G$4:$G$9,ModelDrivers!$H$4:$H$9))</f>
        <v/>
      </c>
      <c r="G25" s="61">
        <f>IF(OR(G$5&gt;($C25+5),(G$5-$C25)&lt;0),"",_xlfn.XLOOKUP(G$5-$C24,ModelDrivers!$G$4:$G$9,ModelDrivers!$H$4:$H$9))</f>
        <v>0.56000000000000005</v>
      </c>
      <c r="H25" s="61">
        <f>IF(OR(H$5&gt;($C25+5),(H$5-$C25)&lt;0),"",_xlfn.XLOOKUP(H$5-$C24,ModelDrivers!$G$4:$G$9,ModelDrivers!$H$4:$H$9))</f>
        <v>0.25</v>
      </c>
      <c r="I25" s="61">
        <f>IF(OR(I$5&gt;($C25+5),(I$5-$C25)&lt;0),"",_xlfn.XLOOKUP(I$5-$C24,ModelDrivers!$G$4:$G$9,ModelDrivers!$H$4:$H$9))</f>
        <v>0.25</v>
      </c>
      <c r="J25" s="61">
        <f>IF(OR(J$5&gt;($C25+5),(J$5-$C25)&lt;0),"",_xlfn.XLOOKUP(J$5-$C24,ModelDrivers!$G$4:$G$9,ModelDrivers!$H$4:$H$9))</f>
        <v>0.23</v>
      </c>
      <c r="K25" s="61">
        <f>IF(OR(K$5&gt;($C25+5),(K$5-$C25)&lt;0),"",_xlfn.XLOOKUP(K$5-$C24,ModelDrivers!$G$4:$G$9,ModelDrivers!$H$4:$H$9))</f>
        <v>0.11</v>
      </c>
      <c r="L25" s="61">
        <f>IF(OR(L$5&gt;($C25+5),(L$5-$C25)&lt;0),"",_xlfn.XLOOKUP(L$5-$C24,ModelDrivers!$G$4:$G$9,ModelDrivers!$H$4:$H$9))</f>
        <v>0.11</v>
      </c>
      <c r="M25" s="61" t="str">
        <f>IF(OR(M$5&gt;($C25+5),(M$5-$C25)&lt;0),"",_xlfn.XLOOKUP(M$5-$C24,ModelDrivers!$G$4:$G$9,ModelDrivers!$H$4:$H$9))</f>
        <v/>
      </c>
      <c r="N25" s="61" t="str">
        <f>IF(OR(N$5&gt;($C25+5),(N$5-$C25)&lt;0),"",_xlfn.XLOOKUP(N$5-$C24,ModelDrivers!$G$4:$G$9,ModelDrivers!$H$4:$H$9))</f>
        <v/>
      </c>
      <c r="O25" s="61" t="str">
        <f>IF(OR(O$5&gt;($C25+5),(O$5-$C25)&lt;0),"",_xlfn.XLOOKUP(O$5-$C24,ModelDrivers!$G$4:$G$9,ModelDrivers!$H$4:$H$9))</f>
        <v/>
      </c>
      <c r="P25" s="47"/>
    </row>
    <row r="26" spans="2:16" hidden="1" outlineLevel="2" x14ac:dyDescent="0.35">
      <c r="C26" s="57">
        <f t="shared" si="7"/>
        <v>5</v>
      </c>
      <c r="D26" s="61" t="str">
        <f>IF(OR(D$5&gt;($C26+5),(D$5-$C26)&lt;0),"",_xlfn.XLOOKUP(D$5-$C25,ModelDrivers!$G$4:$G$9,ModelDrivers!$H$4:$H$9))</f>
        <v/>
      </c>
      <c r="E26" s="61" t="str">
        <f>IF(OR(E$5&gt;($C26+5),(E$5-$C26)&lt;0),"",_xlfn.XLOOKUP(E$5-$C25,ModelDrivers!$G$4:$G$9,ModelDrivers!$H$4:$H$9))</f>
        <v/>
      </c>
      <c r="F26" s="61" t="str">
        <f>IF(OR(F$5&gt;($C26+5),(F$5-$C26)&lt;0),"",_xlfn.XLOOKUP(F$5-$C25,ModelDrivers!$G$4:$G$9,ModelDrivers!$H$4:$H$9))</f>
        <v/>
      </c>
      <c r="G26" s="61" t="str">
        <f>IF(OR(G$5&gt;($C26+5),(G$5-$C26)&lt;0),"",_xlfn.XLOOKUP(G$5-$C25,ModelDrivers!$G$4:$G$9,ModelDrivers!$H$4:$H$9))</f>
        <v/>
      </c>
      <c r="H26" s="61">
        <f>IF(OR(H$5&gt;($C26+5),(H$5-$C26)&lt;0),"",_xlfn.XLOOKUP(H$5-$C25,ModelDrivers!$G$4:$G$9,ModelDrivers!$H$4:$H$9))</f>
        <v>0.56000000000000005</v>
      </c>
      <c r="I26" s="61">
        <f>IF(OR(I$5&gt;($C26+5),(I$5-$C26)&lt;0),"",_xlfn.XLOOKUP(I$5-$C25,ModelDrivers!$G$4:$G$9,ModelDrivers!$H$4:$H$9))</f>
        <v>0.25</v>
      </c>
      <c r="J26" s="61">
        <f>IF(OR(J$5&gt;($C26+5),(J$5-$C26)&lt;0),"",_xlfn.XLOOKUP(J$5-$C25,ModelDrivers!$G$4:$G$9,ModelDrivers!$H$4:$H$9))</f>
        <v>0.25</v>
      </c>
      <c r="K26" s="61">
        <f>IF(OR(K$5&gt;($C26+5),(K$5-$C26)&lt;0),"",_xlfn.XLOOKUP(K$5-$C25,ModelDrivers!$G$4:$G$9,ModelDrivers!$H$4:$H$9))</f>
        <v>0.23</v>
      </c>
      <c r="L26" s="61">
        <f>IF(OR(L$5&gt;($C26+5),(L$5-$C26)&lt;0),"",_xlfn.XLOOKUP(L$5-$C25,ModelDrivers!$G$4:$G$9,ModelDrivers!$H$4:$H$9))</f>
        <v>0.11</v>
      </c>
      <c r="M26" s="61">
        <f>IF(OR(M$5&gt;($C26+5),(M$5-$C26)&lt;0),"",_xlfn.XLOOKUP(M$5-$C25,ModelDrivers!$G$4:$G$9,ModelDrivers!$H$4:$H$9))</f>
        <v>0.11</v>
      </c>
      <c r="N26" s="61" t="str">
        <f>IF(OR(N$5&gt;($C26+5),(N$5-$C26)&lt;0),"",_xlfn.XLOOKUP(N$5-$C25,ModelDrivers!$G$4:$G$9,ModelDrivers!$H$4:$H$9))</f>
        <v/>
      </c>
      <c r="O26" s="61" t="str">
        <f>IF(OR(O$5&gt;($C26+5),(O$5-$C26)&lt;0),"",_xlfn.XLOOKUP(O$5-$C25,ModelDrivers!$G$4:$G$9,ModelDrivers!$H$4:$H$9))</f>
        <v/>
      </c>
      <c r="P26" s="47"/>
    </row>
    <row r="27" spans="2:16" hidden="1" outlineLevel="2" x14ac:dyDescent="0.35">
      <c r="C27" s="57">
        <f t="shared" si="7"/>
        <v>6</v>
      </c>
      <c r="D27" s="61" t="str">
        <f>IF(OR(D$5&gt;($C27+5),(D$5-$C27)&lt;0),"",_xlfn.XLOOKUP(D$5-$C26,ModelDrivers!$G$4:$G$9,ModelDrivers!$H$4:$H$9))</f>
        <v/>
      </c>
      <c r="E27" s="61" t="str">
        <f>IF(OR(E$5&gt;($C27+5),(E$5-$C27)&lt;0),"",_xlfn.XLOOKUP(E$5-$C26,ModelDrivers!$G$4:$G$9,ModelDrivers!$H$4:$H$9))</f>
        <v/>
      </c>
      <c r="F27" s="61" t="str">
        <f>IF(OR(F$5&gt;($C27+5),(F$5-$C27)&lt;0),"",_xlfn.XLOOKUP(F$5-$C26,ModelDrivers!$G$4:$G$9,ModelDrivers!$H$4:$H$9))</f>
        <v/>
      </c>
      <c r="G27" s="61" t="str">
        <f>IF(OR(G$5&gt;($C27+5),(G$5-$C27)&lt;0),"",_xlfn.XLOOKUP(G$5-$C26,ModelDrivers!$G$4:$G$9,ModelDrivers!$H$4:$H$9))</f>
        <v/>
      </c>
      <c r="H27" s="61" t="str">
        <f>IF(OR(H$5&gt;($C27+5),(H$5-$C27)&lt;0),"",_xlfn.XLOOKUP(H$5-$C26,ModelDrivers!$G$4:$G$9,ModelDrivers!$H$4:$H$9))</f>
        <v/>
      </c>
      <c r="I27" s="61">
        <f>IF(OR(I$5&gt;($C27+5),(I$5-$C27)&lt;0),"",_xlfn.XLOOKUP(I$5-$C26,ModelDrivers!$G$4:$G$9,ModelDrivers!$H$4:$H$9))</f>
        <v>0.56000000000000005</v>
      </c>
      <c r="J27" s="61">
        <f>IF(OR(J$5&gt;($C27+5),(J$5-$C27)&lt;0),"",_xlfn.XLOOKUP(J$5-$C26,ModelDrivers!$G$4:$G$9,ModelDrivers!$H$4:$H$9))</f>
        <v>0.25</v>
      </c>
      <c r="K27" s="61">
        <f>IF(OR(K$5&gt;($C27+5),(K$5-$C27)&lt;0),"",_xlfn.XLOOKUP(K$5-$C26,ModelDrivers!$G$4:$G$9,ModelDrivers!$H$4:$H$9))</f>
        <v>0.25</v>
      </c>
      <c r="L27" s="61">
        <f>IF(OR(L$5&gt;($C27+5),(L$5-$C27)&lt;0),"",_xlfn.XLOOKUP(L$5-$C26,ModelDrivers!$G$4:$G$9,ModelDrivers!$H$4:$H$9))</f>
        <v>0.23</v>
      </c>
      <c r="M27" s="61">
        <f>IF(OR(M$5&gt;($C27+5),(M$5-$C27)&lt;0),"",_xlfn.XLOOKUP(M$5-$C26,ModelDrivers!$G$4:$G$9,ModelDrivers!$H$4:$H$9))</f>
        <v>0.11</v>
      </c>
      <c r="N27" s="61">
        <f>IF(OR(N$5&gt;($C27+5),(N$5-$C27)&lt;0),"",_xlfn.XLOOKUP(N$5-$C26,ModelDrivers!$G$4:$G$9,ModelDrivers!$H$4:$H$9))</f>
        <v>0.11</v>
      </c>
      <c r="O27" s="61" t="str">
        <f>IF(OR(O$5&gt;($C27+5),(O$5-$C27)&lt;0),"",_xlfn.XLOOKUP(O$5-$C26,ModelDrivers!$G$4:$G$9,ModelDrivers!$H$4:$H$9))</f>
        <v/>
      </c>
      <c r="P27" s="47"/>
    </row>
    <row r="28" spans="2:16" hidden="1" outlineLevel="2" x14ac:dyDescent="0.35">
      <c r="C28" s="57">
        <f t="shared" si="7"/>
        <v>7</v>
      </c>
      <c r="D28" s="61" t="str">
        <f>IF(OR(D$5&gt;($C28+5),(D$5-$C28)&lt;0),"",_xlfn.XLOOKUP(D$5-$C27,ModelDrivers!$G$4:$G$9,ModelDrivers!$H$4:$H$9))</f>
        <v/>
      </c>
      <c r="E28" s="61" t="str">
        <f>IF(OR(E$5&gt;($C28+5),(E$5-$C28)&lt;0),"",_xlfn.XLOOKUP(E$5-$C27,ModelDrivers!$G$4:$G$9,ModelDrivers!$H$4:$H$9))</f>
        <v/>
      </c>
      <c r="F28" s="61" t="str">
        <f>IF(OR(F$5&gt;($C28+5),(F$5-$C28)&lt;0),"",_xlfn.XLOOKUP(F$5-$C27,ModelDrivers!$G$4:$G$9,ModelDrivers!$H$4:$H$9))</f>
        <v/>
      </c>
      <c r="G28" s="61" t="str">
        <f>IF(OR(G$5&gt;($C28+5),(G$5-$C28)&lt;0),"",_xlfn.XLOOKUP(G$5-$C27,ModelDrivers!$G$4:$G$9,ModelDrivers!$H$4:$H$9))</f>
        <v/>
      </c>
      <c r="H28" s="61" t="str">
        <f>IF(OR(H$5&gt;($C28+5),(H$5-$C28)&lt;0),"",_xlfn.XLOOKUP(H$5-$C27,ModelDrivers!$G$4:$G$9,ModelDrivers!$H$4:$H$9))</f>
        <v/>
      </c>
      <c r="I28" s="61" t="str">
        <f>IF(OR(I$5&gt;($C28+5),(I$5-$C28)&lt;0),"",_xlfn.XLOOKUP(I$5-$C27,ModelDrivers!$G$4:$G$9,ModelDrivers!$H$4:$H$9))</f>
        <v/>
      </c>
      <c r="J28" s="61">
        <f>IF(OR(J$5&gt;($C28+5),(J$5-$C28)&lt;0),"",_xlfn.XLOOKUP(J$5-$C27,ModelDrivers!$G$4:$G$9,ModelDrivers!$H$4:$H$9))</f>
        <v>0.56000000000000005</v>
      </c>
      <c r="K28" s="61">
        <f>IF(OR(K$5&gt;($C28+5),(K$5-$C28)&lt;0),"",_xlfn.XLOOKUP(K$5-$C27,ModelDrivers!$G$4:$G$9,ModelDrivers!$H$4:$H$9))</f>
        <v>0.25</v>
      </c>
      <c r="L28" s="61">
        <f>IF(OR(L$5&gt;($C28+5),(L$5-$C28)&lt;0),"",_xlfn.XLOOKUP(L$5-$C27,ModelDrivers!$G$4:$G$9,ModelDrivers!$H$4:$H$9))</f>
        <v>0.25</v>
      </c>
      <c r="M28" s="61">
        <f>IF(OR(M$5&gt;($C28+5),(M$5-$C28)&lt;0),"",_xlfn.XLOOKUP(M$5-$C27,ModelDrivers!$G$4:$G$9,ModelDrivers!$H$4:$H$9))</f>
        <v>0.23</v>
      </c>
      <c r="N28" s="61">
        <f>IF(OR(N$5&gt;($C28+5),(N$5-$C28)&lt;0),"",_xlfn.XLOOKUP(N$5-$C27,ModelDrivers!$G$4:$G$9,ModelDrivers!$H$4:$H$9))</f>
        <v>0.11</v>
      </c>
      <c r="O28" s="61">
        <f>IF(OR(O$5&gt;($C28+5),(O$5-$C28)&lt;0),"",_xlfn.XLOOKUP(O$5-$C27,ModelDrivers!$G$4:$G$9,ModelDrivers!$H$4:$H$9))</f>
        <v>0.11</v>
      </c>
      <c r="P28" s="47"/>
    </row>
    <row r="29" spans="2:16" hidden="1" outlineLevel="2" x14ac:dyDescent="0.35">
      <c r="C29" s="57">
        <f t="shared" si="7"/>
        <v>8</v>
      </c>
      <c r="D29" s="61" t="str">
        <f>IF(OR(D$5&gt;($C29+5),(D$5-$C29)&lt;0),"",_xlfn.XLOOKUP(D$5-$C28,ModelDrivers!$G$4:$G$9,ModelDrivers!$H$4:$H$9))</f>
        <v/>
      </c>
      <c r="E29" s="61" t="str">
        <f>IF(OR(E$5&gt;($C29+5),(E$5-$C29)&lt;0),"",_xlfn.XLOOKUP(E$5-$C28,ModelDrivers!$G$4:$G$9,ModelDrivers!$H$4:$H$9))</f>
        <v/>
      </c>
      <c r="F29" s="61" t="str">
        <f>IF(OR(F$5&gt;($C29+5),(F$5-$C29)&lt;0),"",_xlfn.XLOOKUP(F$5-$C28,ModelDrivers!$G$4:$G$9,ModelDrivers!$H$4:$H$9))</f>
        <v/>
      </c>
      <c r="G29" s="61" t="str">
        <f>IF(OR(G$5&gt;($C29+5),(G$5-$C29)&lt;0),"",_xlfn.XLOOKUP(G$5-$C28,ModelDrivers!$G$4:$G$9,ModelDrivers!$H$4:$H$9))</f>
        <v/>
      </c>
      <c r="H29" s="61" t="str">
        <f>IF(OR(H$5&gt;($C29+5),(H$5-$C29)&lt;0),"",_xlfn.XLOOKUP(H$5-$C28,ModelDrivers!$G$4:$G$9,ModelDrivers!$H$4:$H$9))</f>
        <v/>
      </c>
      <c r="I29" s="61" t="str">
        <f>IF(OR(I$5&gt;($C29+5),(I$5-$C29)&lt;0),"",_xlfn.XLOOKUP(I$5-$C28,ModelDrivers!$G$4:$G$9,ModelDrivers!$H$4:$H$9))</f>
        <v/>
      </c>
      <c r="J29" s="61" t="str">
        <f>IF(OR(J$5&gt;($C29+5),(J$5-$C29)&lt;0),"",_xlfn.XLOOKUP(J$5-$C28,ModelDrivers!$G$4:$G$9,ModelDrivers!$H$4:$H$9))</f>
        <v/>
      </c>
      <c r="K29" s="61">
        <f>IF(OR(K$5&gt;($C29+5),(K$5-$C29)&lt;0),"",_xlfn.XLOOKUP(K$5-$C28,ModelDrivers!$G$4:$G$9,ModelDrivers!$H$4:$H$9))</f>
        <v>0.56000000000000005</v>
      </c>
      <c r="L29" s="61">
        <f>IF(OR(L$5&gt;($C29+5),(L$5-$C29)&lt;0),"",_xlfn.XLOOKUP(L$5-$C28,ModelDrivers!$G$4:$G$9,ModelDrivers!$H$4:$H$9))</f>
        <v>0.25</v>
      </c>
      <c r="M29" s="61">
        <f>IF(OR(M$5&gt;($C29+5),(M$5-$C29)&lt;0),"",_xlfn.XLOOKUP(M$5-$C28,ModelDrivers!$G$4:$G$9,ModelDrivers!$H$4:$H$9))</f>
        <v>0.25</v>
      </c>
      <c r="N29" s="61">
        <f>IF(OR(N$5&gt;($C29+5),(N$5-$C29)&lt;0),"",_xlfn.XLOOKUP(N$5-$C28,ModelDrivers!$G$4:$G$9,ModelDrivers!$H$4:$H$9))</f>
        <v>0.23</v>
      </c>
      <c r="O29" s="61">
        <f>IF(OR(O$5&gt;($C29+5),(O$5-$C29)&lt;0),"",_xlfn.XLOOKUP(O$5-$C28,ModelDrivers!$G$4:$G$9,ModelDrivers!$H$4:$H$9))</f>
        <v>0.11</v>
      </c>
      <c r="P29" s="47"/>
    </row>
    <row r="30" spans="2:16" hidden="1" outlineLevel="2" x14ac:dyDescent="0.35">
      <c r="C30" s="57">
        <f t="shared" si="7"/>
        <v>9</v>
      </c>
      <c r="D30" s="61" t="str">
        <f>IF(OR(D$5&gt;($C30+5),(D$5-$C30)&lt;0),"",_xlfn.XLOOKUP(D$5-$C29,ModelDrivers!$G$4:$G$9,ModelDrivers!$H$4:$H$9))</f>
        <v/>
      </c>
      <c r="E30" s="61" t="str">
        <f>IF(OR(E$5&gt;($C30+5),(E$5-$C30)&lt;0),"",_xlfn.XLOOKUP(E$5-$C29,ModelDrivers!$G$4:$G$9,ModelDrivers!$H$4:$H$9))</f>
        <v/>
      </c>
      <c r="F30" s="61" t="str">
        <f>IF(OR(F$5&gt;($C30+5),(F$5-$C30)&lt;0),"",_xlfn.XLOOKUP(F$5-$C29,ModelDrivers!$G$4:$G$9,ModelDrivers!$H$4:$H$9))</f>
        <v/>
      </c>
      <c r="G30" s="61" t="str">
        <f>IF(OR(G$5&gt;($C30+5),(G$5-$C30)&lt;0),"",_xlfn.XLOOKUP(G$5-$C29,ModelDrivers!$G$4:$G$9,ModelDrivers!$H$4:$H$9))</f>
        <v/>
      </c>
      <c r="H30" s="61" t="str">
        <f>IF(OR(H$5&gt;($C30+5),(H$5-$C30)&lt;0),"",_xlfn.XLOOKUP(H$5-$C29,ModelDrivers!$G$4:$G$9,ModelDrivers!$H$4:$H$9))</f>
        <v/>
      </c>
      <c r="I30" s="61" t="str">
        <f>IF(OR(I$5&gt;($C30+5),(I$5-$C30)&lt;0),"",_xlfn.XLOOKUP(I$5-$C29,ModelDrivers!$G$4:$G$9,ModelDrivers!$H$4:$H$9))</f>
        <v/>
      </c>
      <c r="J30" s="61" t="str">
        <f>IF(OR(J$5&gt;($C30+5),(J$5-$C30)&lt;0),"",_xlfn.XLOOKUP(J$5-$C29,ModelDrivers!$G$4:$G$9,ModelDrivers!$H$4:$H$9))</f>
        <v/>
      </c>
      <c r="K30" s="61" t="str">
        <f>IF(OR(K$5&gt;($C30+5),(K$5-$C30)&lt;0),"",_xlfn.XLOOKUP(K$5-$C29,ModelDrivers!$G$4:$G$9,ModelDrivers!$H$4:$H$9))</f>
        <v/>
      </c>
      <c r="L30" s="61">
        <f>IF(OR(L$5&gt;($C30+5),(L$5-$C30)&lt;0),"",_xlfn.XLOOKUP(L$5-$C29,ModelDrivers!$G$4:$G$9,ModelDrivers!$H$4:$H$9))</f>
        <v>0.56000000000000005</v>
      </c>
      <c r="M30" s="61">
        <f>IF(OR(M$5&gt;($C30+5),(M$5-$C30)&lt;0),"",_xlfn.XLOOKUP(M$5-$C29,ModelDrivers!$G$4:$G$9,ModelDrivers!$H$4:$H$9))</f>
        <v>0.25</v>
      </c>
      <c r="N30" s="61">
        <f>IF(OR(N$5&gt;($C30+5),(N$5-$C30)&lt;0),"",_xlfn.XLOOKUP(N$5-$C29,ModelDrivers!$G$4:$G$9,ModelDrivers!$H$4:$H$9))</f>
        <v>0.25</v>
      </c>
      <c r="O30" s="61">
        <f>IF(OR(O$5&gt;($C30+5),(O$5-$C30)&lt;0),"",_xlfn.XLOOKUP(O$5-$C29,ModelDrivers!$G$4:$G$9,ModelDrivers!$H$4:$H$9))</f>
        <v>0.23</v>
      </c>
      <c r="P30" s="47"/>
    </row>
    <row r="31" spans="2:16" hidden="1" outlineLevel="2" x14ac:dyDescent="0.35">
      <c r="C31" s="57">
        <f t="shared" si="7"/>
        <v>10</v>
      </c>
      <c r="D31" s="61" t="str">
        <f>IF(OR(D$5&gt;($C31+5),(D$5-$C31)&lt;0),"",_xlfn.XLOOKUP(D$5-$C30,ModelDrivers!$G$4:$G$9,ModelDrivers!$H$4:$H$9))</f>
        <v/>
      </c>
      <c r="E31" s="61" t="str">
        <f>IF(OR(E$5&gt;($C31+5),(E$5-$C31)&lt;0),"",_xlfn.XLOOKUP(E$5-$C30,ModelDrivers!$G$4:$G$9,ModelDrivers!$H$4:$H$9))</f>
        <v/>
      </c>
      <c r="F31" s="61" t="str">
        <f>IF(OR(F$5&gt;($C31+5),(F$5-$C31)&lt;0),"",_xlfn.XLOOKUP(F$5-$C30,ModelDrivers!$G$4:$G$9,ModelDrivers!$H$4:$H$9))</f>
        <v/>
      </c>
      <c r="G31" s="61" t="str">
        <f>IF(OR(G$5&gt;($C31+5),(G$5-$C31)&lt;0),"",_xlfn.XLOOKUP(G$5-$C30,ModelDrivers!$G$4:$G$9,ModelDrivers!$H$4:$H$9))</f>
        <v/>
      </c>
      <c r="H31" s="61" t="str">
        <f>IF(OR(H$5&gt;($C31+5),(H$5-$C31)&lt;0),"",_xlfn.XLOOKUP(H$5-$C30,ModelDrivers!$G$4:$G$9,ModelDrivers!$H$4:$H$9))</f>
        <v/>
      </c>
      <c r="I31" s="61" t="str">
        <f>IF(OR(I$5&gt;($C31+5),(I$5-$C31)&lt;0),"",_xlfn.XLOOKUP(I$5-$C30,ModelDrivers!$G$4:$G$9,ModelDrivers!$H$4:$H$9))</f>
        <v/>
      </c>
      <c r="J31" s="61" t="str">
        <f>IF(OR(J$5&gt;($C31+5),(J$5-$C31)&lt;0),"",_xlfn.XLOOKUP(J$5-$C30,ModelDrivers!$G$4:$G$9,ModelDrivers!$H$4:$H$9))</f>
        <v/>
      </c>
      <c r="K31" s="61" t="str">
        <f>IF(OR(K$5&gt;($C31+5),(K$5-$C31)&lt;0),"",_xlfn.XLOOKUP(K$5-$C30,ModelDrivers!$G$4:$G$9,ModelDrivers!$H$4:$H$9))</f>
        <v/>
      </c>
      <c r="L31" s="61" t="str">
        <f>IF(OR(L$5&gt;($C31+5),(L$5-$C31)&lt;0),"",_xlfn.XLOOKUP(L$5-$C30,ModelDrivers!$G$4:$G$9,ModelDrivers!$H$4:$H$9))</f>
        <v/>
      </c>
      <c r="M31" s="61">
        <f>IF(OR(M$5&gt;($C31+5),(M$5-$C31)&lt;0),"",_xlfn.XLOOKUP(M$5-$C30,ModelDrivers!$G$4:$G$9,ModelDrivers!$H$4:$H$9))</f>
        <v>0.56000000000000005</v>
      </c>
      <c r="N31" s="61">
        <f>IF(OR(N$5&gt;($C31+5),(N$5-$C31)&lt;0),"",_xlfn.XLOOKUP(N$5-$C30,ModelDrivers!$G$4:$G$9,ModelDrivers!$H$4:$H$9))</f>
        <v>0.25</v>
      </c>
      <c r="O31" s="61">
        <f>IF(OR(O$5&gt;($C31+5),(O$5-$C31)&lt;0),"",_xlfn.XLOOKUP(O$5-$C30,ModelDrivers!$G$4:$G$9,ModelDrivers!$H$4:$H$9))</f>
        <v>0.25</v>
      </c>
      <c r="P31" s="47"/>
    </row>
    <row r="32" spans="2:16" hidden="1" outlineLevel="2" x14ac:dyDescent="0.35">
      <c r="C32" s="57">
        <f t="shared" si="7"/>
        <v>11</v>
      </c>
      <c r="D32" s="61" t="str">
        <f>IF(OR(D$5&gt;($C32+5),(D$5-$C32)&lt;0),"",_xlfn.XLOOKUP(D$5-$C31,ModelDrivers!$G$4:$G$9,ModelDrivers!$H$4:$H$9))</f>
        <v/>
      </c>
      <c r="E32" s="61" t="str">
        <f>IF(OR(E$5&gt;($C32+5),(E$5-$C32)&lt;0),"",_xlfn.XLOOKUP(E$5-$C31,ModelDrivers!$G$4:$G$9,ModelDrivers!$H$4:$H$9))</f>
        <v/>
      </c>
      <c r="F32" s="61" t="str">
        <f>IF(OR(F$5&gt;($C32+5),(F$5-$C32)&lt;0),"",_xlfn.XLOOKUP(F$5-$C31,ModelDrivers!$G$4:$G$9,ModelDrivers!$H$4:$H$9))</f>
        <v/>
      </c>
      <c r="G32" s="61" t="str">
        <f>IF(OR(G$5&gt;($C32+5),(G$5-$C32)&lt;0),"",_xlfn.XLOOKUP(G$5-$C31,ModelDrivers!$G$4:$G$9,ModelDrivers!$H$4:$H$9))</f>
        <v/>
      </c>
      <c r="H32" s="61" t="str">
        <f>IF(OR(H$5&gt;($C32+5),(H$5-$C32)&lt;0),"",_xlfn.XLOOKUP(H$5-$C31,ModelDrivers!$G$4:$G$9,ModelDrivers!$H$4:$H$9))</f>
        <v/>
      </c>
      <c r="I32" s="61" t="str">
        <f>IF(OR(I$5&gt;($C32+5),(I$5-$C32)&lt;0),"",_xlfn.XLOOKUP(I$5-$C31,ModelDrivers!$G$4:$G$9,ModelDrivers!$H$4:$H$9))</f>
        <v/>
      </c>
      <c r="J32" s="61" t="str">
        <f>IF(OR(J$5&gt;($C32+5),(J$5-$C32)&lt;0),"",_xlfn.XLOOKUP(J$5-$C31,ModelDrivers!$G$4:$G$9,ModelDrivers!$H$4:$H$9))</f>
        <v/>
      </c>
      <c r="K32" s="61" t="str">
        <f>IF(OR(K$5&gt;($C32+5),(K$5-$C32)&lt;0),"",_xlfn.XLOOKUP(K$5-$C31,ModelDrivers!$G$4:$G$9,ModelDrivers!$H$4:$H$9))</f>
        <v/>
      </c>
      <c r="L32" s="61" t="str">
        <f>IF(OR(L$5&gt;($C32+5),(L$5-$C32)&lt;0),"",_xlfn.XLOOKUP(L$5-$C31,ModelDrivers!$G$4:$G$9,ModelDrivers!$H$4:$H$9))</f>
        <v/>
      </c>
      <c r="M32" s="61" t="str">
        <f>IF(OR(M$5&gt;($C32+5),(M$5-$C32)&lt;0),"",_xlfn.XLOOKUP(M$5-$C31,ModelDrivers!$G$4:$G$9,ModelDrivers!$H$4:$H$9))</f>
        <v/>
      </c>
      <c r="N32" s="61">
        <f>IF(OR(N$5&gt;($C32+5),(N$5-$C32)&lt;0),"",_xlfn.XLOOKUP(N$5-$C31,ModelDrivers!$G$4:$G$9,ModelDrivers!$H$4:$H$9))</f>
        <v>0.56000000000000005</v>
      </c>
      <c r="O32" s="61">
        <f>IF(OR(O$5&gt;($C32+5),(O$5-$C32)&lt;0),"",_xlfn.XLOOKUP(O$5-$C31,ModelDrivers!$G$4:$G$9,ModelDrivers!$H$4:$H$9))</f>
        <v>0.25</v>
      </c>
      <c r="P32" s="47"/>
    </row>
    <row r="33" spans="3:16" hidden="1" outlineLevel="2" x14ac:dyDescent="0.35">
      <c r="C33" s="57">
        <f t="shared" si="7"/>
        <v>12</v>
      </c>
      <c r="D33" s="61" t="str">
        <f>IF(OR(D$5&gt;($C33+5),(D$5-$C33)&lt;0),"",_xlfn.XLOOKUP(D$5-$C32,ModelDrivers!$G$4:$G$9,ModelDrivers!$H$4:$H$9))</f>
        <v/>
      </c>
      <c r="E33" s="61" t="str">
        <f>IF(OR(E$5&gt;($C33+5),(E$5-$C33)&lt;0),"",_xlfn.XLOOKUP(E$5-$C32,ModelDrivers!$G$4:$G$9,ModelDrivers!$H$4:$H$9))</f>
        <v/>
      </c>
      <c r="F33" s="61" t="str">
        <f>IF(OR(F$5&gt;($C33+5),(F$5-$C33)&lt;0),"",_xlfn.XLOOKUP(F$5-$C32,ModelDrivers!$G$4:$G$9,ModelDrivers!$H$4:$H$9))</f>
        <v/>
      </c>
      <c r="G33" s="61" t="str">
        <f>IF(OR(G$5&gt;($C33+5),(G$5-$C33)&lt;0),"",_xlfn.XLOOKUP(G$5-$C32,ModelDrivers!$G$4:$G$9,ModelDrivers!$H$4:$H$9))</f>
        <v/>
      </c>
      <c r="H33" s="61" t="str">
        <f>IF(OR(H$5&gt;($C33+5),(H$5-$C33)&lt;0),"",_xlfn.XLOOKUP(H$5-$C32,ModelDrivers!$G$4:$G$9,ModelDrivers!$H$4:$H$9))</f>
        <v/>
      </c>
      <c r="I33" s="61" t="str">
        <f>IF(OR(I$5&gt;($C33+5),(I$5-$C33)&lt;0),"",_xlfn.XLOOKUP(I$5-$C32,ModelDrivers!$G$4:$G$9,ModelDrivers!$H$4:$H$9))</f>
        <v/>
      </c>
      <c r="J33" s="61" t="str">
        <f>IF(OR(J$5&gt;($C33+5),(J$5-$C33)&lt;0),"",_xlfn.XLOOKUP(J$5-$C32,ModelDrivers!$G$4:$G$9,ModelDrivers!$H$4:$H$9))</f>
        <v/>
      </c>
      <c r="K33" s="61" t="str">
        <f>IF(OR(K$5&gt;($C33+5),(K$5-$C33)&lt;0),"",_xlfn.XLOOKUP(K$5-$C32,ModelDrivers!$G$4:$G$9,ModelDrivers!$H$4:$H$9))</f>
        <v/>
      </c>
      <c r="L33" s="61" t="str">
        <f>IF(OR(L$5&gt;($C33+5),(L$5-$C33)&lt;0),"",_xlfn.XLOOKUP(L$5-$C32,ModelDrivers!$G$4:$G$9,ModelDrivers!$H$4:$H$9))</f>
        <v/>
      </c>
      <c r="M33" s="61" t="str">
        <f>IF(OR(M$5&gt;($C33+5),(M$5-$C33)&lt;0),"",_xlfn.XLOOKUP(M$5-$C32,ModelDrivers!$G$4:$G$9,ModelDrivers!$H$4:$H$9))</f>
        <v/>
      </c>
      <c r="N33" s="61" t="str">
        <f>IF(OR(N$5&gt;($C33+5),(N$5-$C33)&lt;0),"",_xlfn.XLOOKUP(N$5-$C32,ModelDrivers!$G$4:$G$9,ModelDrivers!$H$4:$H$9))</f>
        <v/>
      </c>
      <c r="O33" s="61">
        <f>IF(OR(O$5&gt;($C33+5),(O$5-$C33)&lt;0),"",_xlfn.XLOOKUP(O$5-$C32,ModelDrivers!$G$4:$G$9,ModelDrivers!$H$4:$H$9))</f>
        <v>0.56000000000000005</v>
      </c>
      <c r="P33" s="47"/>
    </row>
    <row r="34" spans="3:16" hidden="1" outlineLevel="2" x14ac:dyDescent="0.35">
      <c r="C34" s="57">
        <f t="shared" si="7"/>
        <v>13</v>
      </c>
      <c r="D34" s="61" t="str">
        <f>IF(OR(D$5&gt;($C34+5),(D$5-$C34)&lt;0),"",_xlfn.XLOOKUP(D$5-$C33,ModelDrivers!$G$4:$G$9,ModelDrivers!$H$4:$H$9))</f>
        <v/>
      </c>
      <c r="E34" s="61" t="str">
        <f>IF(OR(E$5&gt;($C34+5),(E$5-$C34)&lt;0),"",_xlfn.XLOOKUP(E$5-$C33,ModelDrivers!$G$4:$G$9,ModelDrivers!$H$4:$H$9))</f>
        <v/>
      </c>
      <c r="F34" s="61" t="str">
        <f>IF(OR(F$5&gt;($C34+5),(F$5-$C34)&lt;0),"",_xlfn.XLOOKUP(F$5-$C33,ModelDrivers!$G$4:$G$9,ModelDrivers!$H$4:$H$9))</f>
        <v/>
      </c>
      <c r="G34" s="61" t="str">
        <f>IF(OR(G$5&gt;($C34+5),(G$5-$C34)&lt;0),"",_xlfn.XLOOKUP(G$5-$C33,ModelDrivers!$G$4:$G$9,ModelDrivers!$H$4:$H$9))</f>
        <v/>
      </c>
      <c r="H34" s="61" t="str">
        <f>IF(OR(H$5&gt;($C34+5),(H$5-$C34)&lt;0),"",_xlfn.XLOOKUP(H$5-$C33,ModelDrivers!$G$4:$G$9,ModelDrivers!$H$4:$H$9))</f>
        <v/>
      </c>
      <c r="I34" s="61" t="str">
        <f>IF(OR(I$5&gt;($C34+5),(I$5-$C34)&lt;0),"",_xlfn.XLOOKUP(I$5-$C33,ModelDrivers!$G$4:$G$9,ModelDrivers!$H$4:$H$9))</f>
        <v/>
      </c>
      <c r="J34" s="61" t="str">
        <f>IF(OR(J$5&gt;($C34+5),(J$5-$C34)&lt;0),"",_xlfn.XLOOKUP(J$5-$C33,ModelDrivers!$G$4:$G$9,ModelDrivers!$H$4:$H$9))</f>
        <v/>
      </c>
      <c r="K34" s="61" t="str">
        <f>IF(OR(K$5&gt;($C34+5),(K$5-$C34)&lt;0),"",_xlfn.XLOOKUP(K$5-$C33,ModelDrivers!$G$4:$G$9,ModelDrivers!$H$4:$H$9))</f>
        <v/>
      </c>
      <c r="L34" s="61" t="str">
        <f>IF(OR(L$5&gt;($C34+5),(L$5-$C34)&lt;0),"",_xlfn.XLOOKUP(L$5-$C33,ModelDrivers!$G$4:$G$9,ModelDrivers!$H$4:$H$9))</f>
        <v/>
      </c>
      <c r="M34" s="61" t="str">
        <f>IF(OR(M$5&gt;($C34+5),(M$5-$C34)&lt;0),"",_xlfn.XLOOKUP(M$5-$C33,ModelDrivers!$G$4:$G$9,ModelDrivers!$H$4:$H$9))</f>
        <v/>
      </c>
      <c r="N34" s="61" t="str">
        <f>IF(OR(N$5&gt;($C34+5),(N$5-$C34)&lt;0),"",_xlfn.XLOOKUP(N$5-$C33,ModelDrivers!$G$4:$G$9,ModelDrivers!$H$4:$H$9))</f>
        <v/>
      </c>
      <c r="O34" s="61" t="str">
        <f>IF(OR(O$5&gt;($C34+5),(O$5-$C34)&lt;0),"",_xlfn.XLOOKUP(O$5-$C33,ModelDrivers!$G$4:$G$9,ModelDrivers!$H$4:$H$9))</f>
        <v/>
      </c>
      <c r="P34" s="47"/>
    </row>
    <row r="35" spans="3:16" hidden="1" outlineLevel="2" x14ac:dyDescent="0.35">
      <c r="C35" s="57">
        <f t="shared" si="7"/>
        <v>14</v>
      </c>
      <c r="D35" s="61" t="str">
        <f>IF(OR(D$5&gt;($C35+5),(D$5-$C35)&lt;0),"",_xlfn.XLOOKUP(D$5-$C34,ModelDrivers!$G$4:$G$9,ModelDrivers!$H$4:$H$9))</f>
        <v/>
      </c>
      <c r="E35" s="61" t="str">
        <f>IF(OR(E$5&gt;($C35+5),(E$5-$C35)&lt;0),"",_xlfn.XLOOKUP(E$5-$C34,ModelDrivers!$G$4:$G$9,ModelDrivers!$H$4:$H$9))</f>
        <v/>
      </c>
      <c r="F35" s="61" t="str">
        <f>IF(OR(F$5&gt;($C35+5),(F$5-$C35)&lt;0),"",_xlfn.XLOOKUP(F$5-$C34,ModelDrivers!$G$4:$G$9,ModelDrivers!$H$4:$H$9))</f>
        <v/>
      </c>
      <c r="G35" s="61" t="str">
        <f>IF(OR(G$5&gt;($C35+5),(G$5-$C35)&lt;0),"",_xlfn.XLOOKUP(G$5-$C34,ModelDrivers!$G$4:$G$9,ModelDrivers!$H$4:$H$9))</f>
        <v/>
      </c>
      <c r="H35" s="61" t="str">
        <f>IF(OR(H$5&gt;($C35+5),(H$5-$C35)&lt;0),"",_xlfn.XLOOKUP(H$5-$C34,ModelDrivers!$G$4:$G$9,ModelDrivers!$H$4:$H$9))</f>
        <v/>
      </c>
      <c r="I35" s="61" t="str">
        <f>IF(OR(I$5&gt;($C35+5),(I$5-$C35)&lt;0),"",_xlfn.XLOOKUP(I$5-$C34,ModelDrivers!$G$4:$G$9,ModelDrivers!$H$4:$H$9))</f>
        <v/>
      </c>
      <c r="J35" s="61" t="str">
        <f>IF(OR(J$5&gt;($C35+5),(J$5-$C35)&lt;0),"",_xlfn.XLOOKUP(J$5-$C34,ModelDrivers!$G$4:$G$9,ModelDrivers!$H$4:$H$9))</f>
        <v/>
      </c>
      <c r="K35" s="61" t="str">
        <f>IF(OR(K$5&gt;($C35+5),(K$5-$C35)&lt;0),"",_xlfn.XLOOKUP(K$5-$C34,ModelDrivers!$G$4:$G$9,ModelDrivers!$H$4:$H$9))</f>
        <v/>
      </c>
      <c r="L35" s="61" t="str">
        <f>IF(OR(L$5&gt;($C35+5),(L$5-$C35)&lt;0),"",_xlfn.XLOOKUP(L$5-$C34,ModelDrivers!$G$4:$G$9,ModelDrivers!$H$4:$H$9))</f>
        <v/>
      </c>
      <c r="M35" s="61" t="str">
        <f>IF(OR(M$5&gt;($C35+5),(M$5-$C35)&lt;0),"",_xlfn.XLOOKUP(M$5-$C34,ModelDrivers!$G$4:$G$9,ModelDrivers!$H$4:$H$9))</f>
        <v/>
      </c>
      <c r="N35" s="61" t="str">
        <f>IF(OR(N$5&gt;($C35+5),(N$5-$C35)&lt;0),"",_xlfn.XLOOKUP(N$5-$C34,ModelDrivers!$G$4:$G$9,ModelDrivers!$H$4:$H$9))</f>
        <v/>
      </c>
      <c r="O35" s="61" t="str">
        <f>IF(OR(O$5&gt;($C35+5),(O$5-$C35)&lt;0),"",_xlfn.XLOOKUP(O$5-$C34,ModelDrivers!$G$4:$G$9,ModelDrivers!$H$4:$H$9))</f>
        <v/>
      </c>
      <c r="P35" s="47"/>
    </row>
    <row r="36" spans="3:16" hidden="1" outlineLevel="2" x14ac:dyDescent="0.35">
      <c r="C36" s="57">
        <f t="shared" si="7"/>
        <v>15</v>
      </c>
      <c r="D36" s="61" t="str">
        <f>IF(OR(D$5&gt;($C36+5),(D$5-$C36)&lt;0),"",_xlfn.XLOOKUP(D$5-$C35,ModelDrivers!$G$4:$G$9,ModelDrivers!$H$4:$H$9))</f>
        <v/>
      </c>
      <c r="E36" s="61" t="str">
        <f>IF(OR(E$5&gt;($C36+5),(E$5-$C36)&lt;0),"",_xlfn.XLOOKUP(E$5-$C35,ModelDrivers!$G$4:$G$9,ModelDrivers!$H$4:$H$9))</f>
        <v/>
      </c>
      <c r="F36" s="61" t="str">
        <f>IF(OR(F$5&gt;($C36+5),(F$5-$C36)&lt;0),"",_xlfn.XLOOKUP(F$5-$C35,ModelDrivers!$G$4:$G$9,ModelDrivers!$H$4:$H$9))</f>
        <v/>
      </c>
      <c r="G36" s="61" t="str">
        <f>IF(OR(G$5&gt;($C36+5),(G$5-$C36)&lt;0),"",_xlfn.XLOOKUP(G$5-$C35,ModelDrivers!$G$4:$G$9,ModelDrivers!$H$4:$H$9))</f>
        <v/>
      </c>
      <c r="H36" s="61" t="str">
        <f>IF(OR(H$5&gt;($C36+5),(H$5-$C36)&lt;0),"",_xlfn.XLOOKUP(H$5-$C35,ModelDrivers!$G$4:$G$9,ModelDrivers!$H$4:$H$9))</f>
        <v/>
      </c>
      <c r="I36" s="61" t="str">
        <f>IF(OR(I$5&gt;($C36+5),(I$5-$C36)&lt;0),"",_xlfn.XLOOKUP(I$5-$C35,ModelDrivers!$G$4:$G$9,ModelDrivers!$H$4:$H$9))</f>
        <v/>
      </c>
      <c r="J36" s="61" t="str">
        <f>IF(OR(J$5&gt;($C36+5),(J$5-$C36)&lt;0),"",_xlfn.XLOOKUP(J$5-$C35,ModelDrivers!$G$4:$G$9,ModelDrivers!$H$4:$H$9))</f>
        <v/>
      </c>
      <c r="K36" s="61" t="str">
        <f>IF(OR(K$5&gt;($C36+5),(K$5-$C36)&lt;0),"",_xlfn.XLOOKUP(K$5-$C35,ModelDrivers!$G$4:$G$9,ModelDrivers!$H$4:$H$9))</f>
        <v/>
      </c>
      <c r="L36" s="61" t="str">
        <f>IF(OR(L$5&gt;($C36+5),(L$5-$C36)&lt;0),"",_xlfn.XLOOKUP(L$5-$C35,ModelDrivers!$G$4:$G$9,ModelDrivers!$H$4:$H$9))</f>
        <v/>
      </c>
      <c r="M36" s="61" t="str">
        <f>IF(OR(M$5&gt;($C36+5),(M$5-$C36)&lt;0),"",_xlfn.XLOOKUP(M$5-$C35,ModelDrivers!$G$4:$G$9,ModelDrivers!$H$4:$H$9))</f>
        <v/>
      </c>
      <c r="N36" s="61" t="str">
        <f>IF(OR(N$5&gt;($C36+5),(N$5-$C36)&lt;0),"",_xlfn.XLOOKUP(N$5-$C35,ModelDrivers!$G$4:$G$9,ModelDrivers!$H$4:$H$9))</f>
        <v/>
      </c>
      <c r="O36" s="61" t="str">
        <f>IF(OR(O$5&gt;($C36+5),(O$5-$C36)&lt;0),"",_xlfn.XLOOKUP(O$5-$C35,ModelDrivers!$G$4:$G$9,ModelDrivers!$H$4:$H$9))</f>
        <v/>
      </c>
      <c r="P36" s="47"/>
    </row>
    <row r="37" spans="3:16" hidden="1" outlineLevel="2" x14ac:dyDescent="0.35">
      <c r="C37" s="57">
        <f t="shared" si="7"/>
        <v>16</v>
      </c>
      <c r="D37" s="61" t="str">
        <f>IF(OR(D$5&gt;($C37+5),(D$5-$C37)&lt;0),"",_xlfn.XLOOKUP(D$5-$C36,ModelDrivers!$G$4:$G$9,ModelDrivers!$H$4:$H$9))</f>
        <v/>
      </c>
      <c r="E37" s="61" t="str">
        <f>IF(OR(E$5&gt;($C37+5),(E$5-$C37)&lt;0),"",_xlfn.XLOOKUP(E$5-$C36,ModelDrivers!$G$4:$G$9,ModelDrivers!$H$4:$H$9))</f>
        <v/>
      </c>
      <c r="F37" s="61" t="str">
        <f>IF(OR(F$5&gt;($C37+5),(F$5-$C37)&lt;0),"",_xlfn.XLOOKUP(F$5-$C36,ModelDrivers!$G$4:$G$9,ModelDrivers!$H$4:$H$9))</f>
        <v/>
      </c>
      <c r="G37" s="61" t="str">
        <f>IF(OR(G$5&gt;($C37+5),(G$5-$C37)&lt;0),"",_xlfn.XLOOKUP(G$5-$C36,ModelDrivers!$G$4:$G$9,ModelDrivers!$H$4:$H$9))</f>
        <v/>
      </c>
      <c r="H37" s="61" t="str">
        <f>IF(OR(H$5&gt;($C37+5),(H$5-$C37)&lt;0),"",_xlfn.XLOOKUP(H$5-$C36,ModelDrivers!$G$4:$G$9,ModelDrivers!$H$4:$H$9))</f>
        <v/>
      </c>
      <c r="I37" s="61" t="str">
        <f>IF(OR(I$5&gt;($C37+5),(I$5-$C37)&lt;0),"",_xlfn.XLOOKUP(I$5-$C36,ModelDrivers!$G$4:$G$9,ModelDrivers!$H$4:$H$9))</f>
        <v/>
      </c>
      <c r="J37" s="61" t="str">
        <f>IF(OR(J$5&gt;($C37+5),(J$5-$C37)&lt;0),"",_xlfn.XLOOKUP(J$5-$C36,ModelDrivers!$G$4:$G$9,ModelDrivers!$H$4:$H$9))</f>
        <v/>
      </c>
      <c r="K37" s="61" t="str">
        <f>IF(OR(K$5&gt;($C37+5),(K$5-$C37)&lt;0),"",_xlfn.XLOOKUP(K$5-$C36,ModelDrivers!$G$4:$G$9,ModelDrivers!$H$4:$H$9))</f>
        <v/>
      </c>
      <c r="L37" s="61" t="str">
        <f>IF(OR(L$5&gt;($C37+5),(L$5-$C37)&lt;0),"",_xlfn.XLOOKUP(L$5-$C36,ModelDrivers!$G$4:$G$9,ModelDrivers!$H$4:$H$9))</f>
        <v/>
      </c>
      <c r="M37" s="61" t="str">
        <f>IF(OR(M$5&gt;($C37+5),(M$5-$C37)&lt;0),"",_xlfn.XLOOKUP(M$5-$C36,ModelDrivers!$G$4:$G$9,ModelDrivers!$H$4:$H$9))</f>
        <v/>
      </c>
      <c r="N37" s="61" t="str">
        <f>IF(OR(N$5&gt;($C37+5),(N$5-$C37)&lt;0),"",_xlfn.XLOOKUP(N$5-$C36,ModelDrivers!$G$4:$G$9,ModelDrivers!$H$4:$H$9))</f>
        <v/>
      </c>
      <c r="O37" s="61" t="str">
        <f>IF(OR(O$5&gt;($C37+5),(O$5-$C37)&lt;0),"",_xlfn.XLOOKUP(O$5-$C36,ModelDrivers!$G$4:$G$9,ModelDrivers!$H$4:$H$9))</f>
        <v/>
      </c>
      <c r="P37" s="47"/>
    </row>
    <row r="38" spans="3:16" hidden="1" outlineLevel="2" x14ac:dyDescent="0.35">
      <c r="C38" s="57">
        <f t="shared" si="7"/>
        <v>17</v>
      </c>
      <c r="D38" s="61" t="str">
        <f>IF(OR(D$5&gt;($C38+5),(D$5-$C38)&lt;0),"",_xlfn.XLOOKUP(D$5-$C37,ModelDrivers!$G$4:$G$9,ModelDrivers!$H$4:$H$9))</f>
        <v/>
      </c>
      <c r="E38" s="61" t="str">
        <f>IF(OR(E$5&gt;($C38+5),(E$5-$C38)&lt;0),"",_xlfn.XLOOKUP(E$5-$C37,ModelDrivers!$G$4:$G$9,ModelDrivers!$H$4:$H$9))</f>
        <v/>
      </c>
      <c r="F38" s="61" t="str">
        <f>IF(OR(F$5&gt;($C38+5),(F$5-$C38)&lt;0),"",_xlfn.XLOOKUP(F$5-$C37,ModelDrivers!$G$4:$G$9,ModelDrivers!$H$4:$H$9))</f>
        <v/>
      </c>
      <c r="G38" s="61" t="str">
        <f>IF(OR(G$5&gt;($C38+5),(G$5-$C38)&lt;0),"",_xlfn.XLOOKUP(G$5-$C37,ModelDrivers!$G$4:$G$9,ModelDrivers!$H$4:$H$9))</f>
        <v/>
      </c>
      <c r="H38" s="61" t="str">
        <f>IF(OR(H$5&gt;($C38+5),(H$5-$C38)&lt;0),"",_xlfn.XLOOKUP(H$5-$C37,ModelDrivers!$G$4:$G$9,ModelDrivers!$H$4:$H$9))</f>
        <v/>
      </c>
      <c r="I38" s="61" t="str">
        <f>IF(OR(I$5&gt;($C38+5),(I$5-$C38)&lt;0),"",_xlfn.XLOOKUP(I$5-$C37,ModelDrivers!$G$4:$G$9,ModelDrivers!$H$4:$H$9))</f>
        <v/>
      </c>
      <c r="J38" s="61" t="str">
        <f>IF(OR(J$5&gt;($C38+5),(J$5-$C38)&lt;0),"",_xlfn.XLOOKUP(J$5-$C37,ModelDrivers!$G$4:$G$9,ModelDrivers!$H$4:$H$9))</f>
        <v/>
      </c>
      <c r="K38" s="61" t="str">
        <f>IF(OR(K$5&gt;($C38+5),(K$5-$C38)&lt;0),"",_xlfn.XLOOKUP(K$5-$C37,ModelDrivers!$G$4:$G$9,ModelDrivers!$H$4:$H$9))</f>
        <v/>
      </c>
      <c r="L38" s="61" t="str">
        <f>IF(OR(L$5&gt;($C38+5),(L$5-$C38)&lt;0),"",_xlfn.XLOOKUP(L$5-$C37,ModelDrivers!$G$4:$G$9,ModelDrivers!$H$4:$H$9))</f>
        <v/>
      </c>
      <c r="M38" s="61" t="str">
        <f>IF(OR(M$5&gt;($C38+5),(M$5-$C38)&lt;0),"",_xlfn.XLOOKUP(M$5-$C37,ModelDrivers!$G$4:$G$9,ModelDrivers!$H$4:$H$9))</f>
        <v/>
      </c>
      <c r="N38" s="61" t="str">
        <f>IF(OR(N$5&gt;($C38+5),(N$5-$C38)&lt;0),"",_xlfn.XLOOKUP(N$5-$C37,ModelDrivers!$G$4:$G$9,ModelDrivers!$H$4:$H$9))</f>
        <v/>
      </c>
      <c r="O38" s="61" t="str">
        <f>IF(OR(O$5&gt;($C38+5),(O$5-$C38)&lt;0),"",_xlfn.XLOOKUP(O$5-$C37,ModelDrivers!$G$4:$G$9,ModelDrivers!$H$4:$H$9))</f>
        <v/>
      </c>
      <c r="P38" s="47"/>
    </row>
    <row r="39" spans="3:16" hidden="1" outlineLevel="2" x14ac:dyDescent="0.35">
      <c r="C39" s="57">
        <f t="shared" si="7"/>
        <v>18</v>
      </c>
      <c r="D39" s="61" t="str">
        <f>IF(OR(D$5&gt;($C39+5),(D$5-$C39)&lt;0),"",_xlfn.XLOOKUP(D$5-$C38,ModelDrivers!$G$4:$G$9,ModelDrivers!$H$4:$H$9))</f>
        <v/>
      </c>
      <c r="E39" s="61" t="str">
        <f>IF(OR(E$5&gt;($C39+5),(E$5-$C39)&lt;0),"",_xlfn.XLOOKUP(E$5-$C38,ModelDrivers!$G$4:$G$9,ModelDrivers!$H$4:$H$9))</f>
        <v/>
      </c>
      <c r="F39" s="61" t="str">
        <f>IF(OR(F$5&gt;($C39+5),(F$5-$C39)&lt;0),"",_xlfn.XLOOKUP(F$5-$C38,ModelDrivers!$G$4:$G$9,ModelDrivers!$H$4:$H$9))</f>
        <v/>
      </c>
      <c r="G39" s="61" t="str">
        <f>IF(OR(G$5&gt;($C39+5),(G$5-$C39)&lt;0),"",_xlfn.XLOOKUP(G$5-$C38,ModelDrivers!$G$4:$G$9,ModelDrivers!$H$4:$H$9))</f>
        <v/>
      </c>
      <c r="H39" s="61" t="str">
        <f>IF(OR(H$5&gt;($C39+5),(H$5-$C39)&lt;0),"",_xlfn.XLOOKUP(H$5-$C38,ModelDrivers!$G$4:$G$9,ModelDrivers!$H$4:$H$9))</f>
        <v/>
      </c>
      <c r="I39" s="61" t="str">
        <f>IF(OR(I$5&gt;($C39+5),(I$5-$C39)&lt;0),"",_xlfn.XLOOKUP(I$5-$C38,ModelDrivers!$G$4:$G$9,ModelDrivers!$H$4:$H$9))</f>
        <v/>
      </c>
      <c r="J39" s="61" t="str">
        <f>IF(OR(J$5&gt;($C39+5),(J$5-$C39)&lt;0),"",_xlfn.XLOOKUP(J$5-$C38,ModelDrivers!$G$4:$G$9,ModelDrivers!$H$4:$H$9))</f>
        <v/>
      </c>
      <c r="K39" s="61" t="str">
        <f>IF(OR(K$5&gt;($C39+5),(K$5-$C39)&lt;0),"",_xlfn.XLOOKUP(K$5-$C38,ModelDrivers!$G$4:$G$9,ModelDrivers!$H$4:$H$9))</f>
        <v/>
      </c>
      <c r="L39" s="61" t="str">
        <f>IF(OR(L$5&gt;($C39+5),(L$5-$C39)&lt;0),"",_xlfn.XLOOKUP(L$5-$C38,ModelDrivers!$G$4:$G$9,ModelDrivers!$H$4:$H$9))</f>
        <v/>
      </c>
      <c r="M39" s="61" t="str">
        <f>IF(OR(M$5&gt;($C39+5),(M$5-$C39)&lt;0),"",_xlfn.XLOOKUP(M$5-$C38,ModelDrivers!$G$4:$G$9,ModelDrivers!$H$4:$H$9))</f>
        <v/>
      </c>
      <c r="N39" s="61" t="str">
        <f>IF(OR(N$5&gt;($C39+5),(N$5-$C39)&lt;0),"",_xlfn.XLOOKUP(N$5-$C38,ModelDrivers!$G$4:$G$9,ModelDrivers!$H$4:$H$9))</f>
        <v/>
      </c>
      <c r="O39" s="61" t="str">
        <f>IF(OR(O$5&gt;($C39+5),(O$5-$C39)&lt;0),"",_xlfn.XLOOKUP(O$5-$C38,ModelDrivers!$G$4:$G$9,ModelDrivers!$H$4:$H$9))</f>
        <v/>
      </c>
      <c r="P39" s="47"/>
    </row>
    <row r="40" spans="3:16" hidden="1" outlineLevel="2" x14ac:dyDescent="0.35">
      <c r="C40" s="57">
        <f t="shared" si="7"/>
        <v>19</v>
      </c>
      <c r="D40" s="61" t="str">
        <f>IF(OR(D$5&gt;($C40+5),(D$5-$C40)&lt;0),"",_xlfn.XLOOKUP(D$5-$C39,ModelDrivers!$G$4:$G$9,ModelDrivers!$H$4:$H$9))</f>
        <v/>
      </c>
      <c r="E40" s="61" t="str">
        <f>IF(OR(E$5&gt;($C40+5),(E$5-$C40)&lt;0),"",_xlfn.XLOOKUP(E$5-$C39,ModelDrivers!$G$4:$G$9,ModelDrivers!$H$4:$H$9))</f>
        <v/>
      </c>
      <c r="F40" s="61" t="str">
        <f>IF(OR(F$5&gt;($C40+5),(F$5-$C40)&lt;0),"",_xlfn.XLOOKUP(F$5-$C39,ModelDrivers!$G$4:$G$9,ModelDrivers!$H$4:$H$9))</f>
        <v/>
      </c>
      <c r="G40" s="61" t="str">
        <f>IF(OR(G$5&gt;($C40+5),(G$5-$C40)&lt;0),"",_xlfn.XLOOKUP(G$5-$C39,ModelDrivers!$G$4:$G$9,ModelDrivers!$H$4:$H$9))</f>
        <v/>
      </c>
      <c r="H40" s="61" t="str">
        <f>IF(OR(H$5&gt;($C40+5),(H$5-$C40)&lt;0),"",_xlfn.XLOOKUP(H$5-$C39,ModelDrivers!$G$4:$G$9,ModelDrivers!$H$4:$H$9))</f>
        <v/>
      </c>
      <c r="I40" s="61" t="str">
        <f>IF(OR(I$5&gt;($C40+5),(I$5-$C40)&lt;0),"",_xlfn.XLOOKUP(I$5-$C39,ModelDrivers!$G$4:$G$9,ModelDrivers!$H$4:$H$9))</f>
        <v/>
      </c>
      <c r="J40" s="61" t="str">
        <f>IF(OR(J$5&gt;($C40+5),(J$5-$C40)&lt;0),"",_xlfn.XLOOKUP(J$5-$C39,ModelDrivers!$G$4:$G$9,ModelDrivers!$H$4:$H$9))</f>
        <v/>
      </c>
      <c r="K40" s="61" t="str">
        <f>IF(OR(K$5&gt;($C40+5),(K$5-$C40)&lt;0),"",_xlfn.XLOOKUP(K$5-$C39,ModelDrivers!$G$4:$G$9,ModelDrivers!$H$4:$H$9))</f>
        <v/>
      </c>
      <c r="L40" s="61" t="str">
        <f>IF(OR(L$5&gt;($C40+5),(L$5-$C40)&lt;0),"",_xlfn.XLOOKUP(L$5-$C39,ModelDrivers!$G$4:$G$9,ModelDrivers!$H$4:$H$9))</f>
        <v/>
      </c>
      <c r="M40" s="61" t="str">
        <f>IF(OR(M$5&gt;($C40+5),(M$5-$C40)&lt;0),"",_xlfn.XLOOKUP(M$5-$C39,ModelDrivers!$G$4:$G$9,ModelDrivers!$H$4:$H$9))</f>
        <v/>
      </c>
      <c r="N40" s="61" t="str">
        <f>IF(OR(N$5&gt;($C40+5),(N$5-$C40)&lt;0),"",_xlfn.XLOOKUP(N$5-$C39,ModelDrivers!$G$4:$G$9,ModelDrivers!$H$4:$H$9))</f>
        <v/>
      </c>
      <c r="O40" s="61" t="str">
        <f>IF(OR(O$5&gt;($C40+5),(O$5-$C40)&lt;0),"",_xlfn.XLOOKUP(O$5-$C39,ModelDrivers!$G$4:$G$9,ModelDrivers!$H$4:$H$9))</f>
        <v/>
      </c>
      <c r="P40" s="47"/>
    </row>
    <row r="41" spans="3:16" hidden="1" outlineLevel="2" x14ac:dyDescent="0.35">
      <c r="C41" s="57">
        <f t="shared" si="7"/>
        <v>20</v>
      </c>
      <c r="D41" s="61" t="str">
        <f>IF(OR(D$5&gt;($C41+5),(D$5-$C41)&lt;0),"",_xlfn.XLOOKUP(D$5-$C40,ModelDrivers!$G$4:$G$9,ModelDrivers!$H$4:$H$9))</f>
        <v/>
      </c>
      <c r="E41" s="61" t="str">
        <f>IF(OR(E$5&gt;($C41+5),(E$5-$C41)&lt;0),"",_xlfn.XLOOKUP(E$5-$C40,ModelDrivers!$G$4:$G$9,ModelDrivers!$H$4:$H$9))</f>
        <v/>
      </c>
      <c r="F41" s="61" t="str">
        <f>IF(OR(F$5&gt;($C41+5),(F$5-$C41)&lt;0),"",_xlfn.XLOOKUP(F$5-$C40,ModelDrivers!$G$4:$G$9,ModelDrivers!$H$4:$H$9))</f>
        <v/>
      </c>
      <c r="G41" s="61" t="str">
        <f>IF(OR(G$5&gt;($C41+5),(G$5-$C41)&lt;0),"",_xlfn.XLOOKUP(G$5-$C40,ModelDrivers!$G$4:$G$9,ModelDrivers!$H$4:$H$9))</f>
        <v/>
      </c>
      <c r="H41" s="61" t="str">
        <f>IF(OR(H$5&gt;($C41+5),(H$5-$C41)&lt;0),"",_xlfn.XLOOKUP(H$5-$C40,ModelDrivers!$G$4:$G$9,ModelDrivers!$H$4:$H$9))</f>
        <v/>
      </c>
      <c r="I41" s="61" t="str">
        <f>IF(OR(I$5&gt;($C41+5),(I$5-$C41)&lt;0),"",_xlfn.XLOOKUP(I$5-$C40,ModelDrivers!$G$4:$G$9,ModelDrivers!$H$4:$H$9))</f>
        <v/>
      </c>
      <c r="J41" s="61" t="str">
        <f>IF(OR(J$5&gt;($C41+5),(J$5-$C41)&lt;0),"",_xlfn.XLOOKUP(J$5-$C40,ModelDrivers!$G$4:$G$9,ModelDrivers!$H$4:$H$9))</f>
        <v/>
      </c>
      <c r="K41" s="61" t="str">
        <f>IF(OR(K$5&gt;($C41+5),(K$5-$C41)&lt;0),"",_xlfn.XLOOKUP(K$5-$C40,ModelDrivers!$G$4:$G$9,ModelDrivers!$H$4:$H$9))</f>
        <v/>
      </c>
      <c r="L41" s="61" t="str">
        <f>IF(OR(L$5&gt;($C41+5),(L$5-$C41)&lt;0),"",_xlfn.XLOOKUP(L$5-$C40,ModelDrivers!$G$4:$G$9,ModelDrivers!$H$4:$H$9))</f>
        <v/>
      </c>
      <c r="M41" s="61" t="str">
        <f>IF(OR(M$5&gt;($C41+5),(M$5-$C41)&lt;0),"",_xlfn.XLOOKUP(M$5-$C40,ModelDrivers!$G$4:$G$9,ModelDrivers!$H$4:$H$9))</f>
        <v/>
      </c>
      <c r="N41" s="61" t="str">
        <f>IF(OR(N$5&gt;($C41+5),(N$5-$C41)&lt;0),"",_xlfn.XLOOKUP(N$5-$C40,ModelDrivers!$G$4:$G$9,ModelDrivers!$H$4:$H$9))</f>
        <v/>
      </c>
      <c r="O41" s="61" t="str">
        <f>IF(OR(O$5&gt;($C41+5),(O$5-$C41)&lt;0),"",_xlfn.XLOOKUP(O$5-$C40,ModelDrivers!$G$4:$G$9,ModelDrivers!$H$4:$H$9))</f>
        <v/>
      </c>
      <c r="P41" s="47"/>
    </row>
    <row r="42" spans="3:16" hidden="1" outlineLevel="2" x14ac:dyDescent="0.35">
      <c r="C42" s="57">
        <f t="shared" si="7"/>
        <v>21</v>
      </c>
      <c r="D42" s="61" t="str">
        <f>IF(OR(D$5&gt;($C42+5),(D$5-$C42)&lt;0),"",_xlfn.XLOOKUP(D$5-$C41,ModelDrivers!$G$4:$G$9,ModelDrivers!$H$4:$H$9))</f>
        <v/>
      </c>
      <c r="E42" s="61" t="str">
        <f>IF(OR(E$5&gt;($C42+5),(E$5-$C42)&lt;0),"",_xlfn.XLOOKUP(E$5-$C41,ModelDrivers!$G$4:$G$9,ModelDrivers!$H$4:$H$9))</f>
        <v/>
      </c>
      <c r="F42" s="61" t="str">
        <f>IF(OR(F$5&gt;($C42+5),(F$5-$C42)&lt;0),"",_xlfn.XLOOKUP(F$5-$C41,ModelDrivers!$G$4:$G$9,ModelDrivers!$H$4:$H$9))</f>
        <v/>
      </c>
      <c r="G42" s="61" t="str">
        <f>IF(OR(G$5&gt;($C42+5),(G$5-$C42)&lt;0),"",_xlfn.XLOOKUP(G$5-$C41,ModelDrivers!$G$4:$G$9,ModelDrivers!$H$4:$H$9))</f>
        <v/>
      </c>
      <c r="H42" s="61" t="str">
        <f>IF(OR(H$5&gt;($C42+5),(H$5-$C42)&lt;0),"",_xlfn.XLOOKUP(H$5-$C41,ModelDrivers!$G$4:$G$9,ModelDrivers!$H$4:$H$9))</f>
        <v/>
      </c>
      <c r="I42" s="61" t="str">
        <f>IF(OR(I$5&gt;($C42+5),(I$5-$C42)&lt;0),"",_xlfn.XLOOKUP(I$5-$C41,ModelDrivers!$G$4:$G$9,ModelDrivers!$H$4:$H$9))</f>
        <v/>
      </c>
      <c r="J42" s="61" t="str">
        <f>IF(OR(J$5&gt;($C42+5),(J$5-$C42)&lt;0),"",_xlfn.XLOOKUP(J$5-$C41,ModelDrivers!$G$4:$G$9,ModelDrivers!$H$4:$H$9))</f>
        <v/>
      </c>
      <c r="K42" s="61" t="str">
        <f>IF(OR(K$5&gt;($C42+5),(K$5-$C42)&lt;0),"",_xlfn.XLOOKUP(K$5-$C41,ModelDrivers!$G$4:$G$9,ModelDrivers!$H$4:$H$9))</f>
        <v/>
      </c>
      <c r="L42" s="61" t="str">
        <f>IF(OR(L$5&gt;($C42+5),(L$5-$C42)&lt;0),"",_xlfn.XLOOKUP(L$5-$C41,ModelDrivers!$G$4:$G$9,ModelDrivers!$H$4:$H$9))</f>
        <v/>
      </c>
      <c r="M42" s="61" t="str">
        <f>IF(OR(M$5&gt;($C42+5),(M$5-$C42)&lt;0),"",_xlfn.XLOOKUP(M$5-$C41,ModelDrivers!$G$4:$G$9,ModelDrivers!$H$4:$H$9))</f>
        <v/>
      </c>
      <c r="N42" s="61" t="str">
        <f>IF(OR(N$5&gt;($C42+5),(N$5-$C42)&lt;0),"",_xlfn.XLOOKUP(N$5-$C41,ModelDrivers!$G$4:$G$9,ModelDrivers!$H$4:$H$9))</f>
        <v/>
      </c>
      <c r="O42" s="61" t="str">
        <f>IF(OR(O$5&gt;($C42+5),(O$5-$C42)&lt;0),"",_xlfn.XLOOKUP(O$5-$C41,ModelDrivers!$G$4:$G$9,ModelDrivers!$H$4:$H$9))</f>
        <v/>
      </c>
      <c r="P42" s="47"/>
    </row>
    <row r="43" spans="3:16" hidden="1" outlineLevel="2" x14ac:dyDescent="0.35">
      <c r="C43" s="57">
        <f t="shared" si="7"/>
        <v>22</v>
      </c>
      <c r="D43" s="61" t="str">
        <f>IF(OR(D$5&gt;($C43+5),(D$5-$C43)&lt;0),"",_xlfn.XLOOKUP(D$5-$C42,ModelDrivers!$G$4:$G$9,ModelDrivers!$H$4:$H$9))</f>
        <v/>
      </c>
      <c r="E43" s="61" t="str">
        <f>IF(OR(E$5&gt;($C43+5),(E$5-$C43)&lt;0),"",_xlfn.XLOOKUP(E$5-$C42,ModelDrivers!$G$4:$G$9,ModelDrivers!$H$4:$H$9))</f>
        <v/>
      </c>
      <c r="F43" s="61" t="str">
        <f>IF(OR(F$5&gt;($C43+5),(F$5-$C43)&lt;0),"",_xlfn.XLOOKUP(F$5-$C42,ModelDrivers!$G$4:$G$9,ModelDrivers!$H$4:$H$9))</f>
        <v/>
      </c>
      <c r="G43" s="61" t="str">
        <f>IF(OR(G$5&gt;($C43+5),(G$5-$C43)&lt;0),"",_xlfn.XLOOKUP(G$5-$C42,ModelDrivers!$G$4:$G$9,ModelDrivers!$H$4:$H$9))</f>
        <v/>
      </c>
      <c r="H43" s="61" t="str">
        <f>IF(OR(H$5&gt;($C43+5),(H$5-$C43)&lt;0),"",_xlfn.XLOOKUP(H$5-$C42,ModelDrivers!$G$4:$G$9,ModelDrivers!$H$4:$H$9))</f>
        <v/>
      </c>
      <c r="I43" s="61" t="str">
        <f>IF(OR(I$5&gt;($C43+5),(I$5-$C43)&lt;0),"",_xlfn.XLOOKUP(I$5-$C42,ModelDrivers!$G$4:$G$9,ModelDrivers!$H$4:$H$9))</f>
        <v/>
      </c>
      <c r="J43" s="61" t="str">
        <f>IF(OR(J$5&gt;($C43+5),(J$5-$C43)&lt;0),"",_xlfn.XLOOKUP(J$5-$C42,ModelDrivers!$G$4:$G$9,ModelDrivers!$H$4:$H$9))</f>
        <v/>
      </c>
      <c r="K43" s="61" t="str">
        <f>IF(OR(K$5&gt;($C43+5),(K$5-$C43)&lt;0),"",_xlfn.XLOOKUP(K$5-$C42,ModelDrivers!$G$4:$G$9,ModelDrivers!$H$4:$H$9))</f>
        <v/>
      </c>
      <c r="L43" s="61" t="str">
        <f>IF(OR(L$5&gt;($C43+5),(L$5-$C43)&lt;0),"",_xlfn.XLOOKUP(L$5-$C42,ModelDrivers!$G$4:$G$9,ModelDrivers!$H$4:$H$9))</f>
        <v/>
      </c>
      <c r="M43" s="61" t="str">
        <f>IF(OR(M$5&gt;($C43+5),(M$5-$C43)&lt;0),"",_xlfn.XLOOKUP(M$5-$C42,ModelDrivers!$G$4:$G$9,ModelDrivers!$H$4:$H$9))</f>
        <v/>
      </c>
      <c r="N43" s="61" t="str">
        <f>IF(OR(N$5&gt;($C43+5),(N$5-$C43)&lt;0),"",_xlfn.XLOOKUP(N$5-$C42,ModelDrivers!$G$4:$G$9,ModelDrivers!$H$4:$H$9))</f>
        <v/>
      </c>
      <c r="O43" s="61" t="str">
        <f>IF(OR(O$5&gt;($C43+5),(O$5-$C43)&lt;0),"",_xlfn.XLOOKUP(O$5-$C42,ModelDrivers!$G$4:$G$9,ModelDrivers!$H$4:$H$9))</f>
        <v/>
      </c>
      <c r="P43" s="47"/>
    </row>
    <row r="44" spans="3:16" hidden="1" outlineLevel="2" x14ac:dyDescent="0.35">
      <c r="C44" s="57">
        <f t="shared" si="7"/>
        <v>23</v>
      </c>
      <c r="D44" s="61" t="str">
        <f>IF(OR(D$5&gt;($C44+5),(D$5-$C44)&lt;0),"",_xlfn.XLOOKUP(D$5-$C43,ModelDrivers!$G$4:$G$9,ModelDrivers!$H$4:$H$9))</f>
        <v/>
      </c>
      <c r="E44" s="61" t="str">
        <f>IF(OR(E$5&gt;($C44+5),(E$5-$C44)&lt;0),"",_xlfn.XLOOKUP(E$5-$C43,ModelDrivers!$G$4:$G$9,ModelDrivers!$H$4:$H$9))</f>
        <v/>
      </c>
      <c r="F44" s="61" t="str">
        <f>IF(OR(F$5&gt;($C44+5),(F$5-$C44)&lt;0),"",_xlfn.XLOOKUP(F$5-$C43,ModelDrivers!$G$4:$G$9,ModelDrivers!$H$4:$H$9))</f>
        <v/>
      </c>
      <c r="G44" s="61" t="str">
        <f>IF(OR(G$5&gt;($C44+5),(G$5-$C44)&lt;0),"",_xlfn.XLOOKUP(G$5-$C43,ModelDrivers!$G$4:$G$9,ModelDrivers!$H$4:$H$9))</f>
        <v/>
      </c>
      <c r="H44" s="61" t="str">
        <f>IF(OR(H$5&gt;($C44+5),(H$5-$C44)&lt;0),"",_xlfn.XLOOKUP(H$5-$C43,ModelDrivers!$G$4:$G$9,ModelDrivers!$H$4:$H$9))</f>
        <v/>
      </c>
      <c r="I44" s="61" t="str">
        <f>IF(OR(I$5&gt;($C44+5),(I$5-$C44)&lt;0),"",_xlfn.XLOOKUP(I$5-$C43,ModelDrivers!$G$4:$G$9,ModelDrivers!$H$4:$H$9))</f>
        <v/>
      </c>
      <c r="J44" s="61" t="str">
        <f>IF(OR(J$5&gt;($C44+5),(J$5-$C44)&lt;0),"",_xlfn.XLOOKUP(J$5-$C43,ModelDrivers!$G$4:$G$9,ModelDrivers!$H$4:$H$9))</f>
        <v/>
      </c>
      <c r="K44" s="61" t="str">
        <f>IF(OR(K$5&gt;($C44+5),(K$5-$C44)&lt;0),"",_xlfn.XLOOKUP(K$5-$C43,ModelDrivers!$G$4:$G$9,ModelDrivers!$H$4:$H$9))</f>
        <v/>
      </c>
      <c r="L44" s="61" t="str">
        <f>IF(OR(L$5&gt;($C44+5),(L$5-$C44)&lt;0),"",_xlfn.XLOOKUP(L$5-$C43,ModelDrivers!$G$4:$G$9,ModelDrivers!$H$4:$H$9))</f>
        <v/>
      </c>
      <c r="M44" s="61" t="str">
        <f>IF(OR(M$5&gt;($C44+5),(M$5-$C44)&lt;0),"",_xlfn.XLOOKUP(M$5-$C43,ModelDrivers!$G$4:$G$9,ModelDrivers!$H$4:$H$9))</f>
        <v/>
      </c>
      <c r="N44" s="61" t="str">
        <f>IF(OR(N$5&gt;($C44+5),(N$5-$C44)&lt;0),"",_xlfn.XLOOKUP(N$5-$C43,ModelDrivers!$G$4:$G$9,ModelDrivers!$H$4:$H$9))</f>
        <v/>
      </c>
      <c r="O44" s="61" t="str">
        <f>IF(OR(O$5&gt;($C44+5),(O$5-$C44)&lt;0),"",_xlfn.XLOOKUP(O$5-$C43,ModelDrivers!$G$4:$G$9,ModelDrivers!$H$4:$H$9))</f>
        <v/>
      </c>
      <c r="P44" s="47"/>
    </row>
    <row r="45" spans="3:16" hidden="1" outlineLevel="2" x14ac:dyDescent="0.35">
      <c r="C45" s="57">
        <f t="shared" si="7"/>
        <v>24</v>
      </c>
      <c r="D45" s="61" t="str">
        <f>IF(OR(D$5&gt;($C45+5),(D$5-$C45)&lt;0),"",_xlfn.XLOOKUP(D$5-$C44,ModelDrivers!$G$4:$G$9,ModelDrivers!$H$4:$H$9))</f>
        <v/>
      </c>
      <c r="E45" s="61" t="str">
        <f>IF(OR(E$5&gt;($C45+5),(E$5-$C45)&lt;0),"",_xlfn.XLOOKUP(E$5-$C44,ModelDrivers!$G$4:$G$9,ModelDrivers!$H$4:$H$9))</f>
        <v/>
      </c>
      <c r="F45" s="61" t="str">
        <f>IF(OR(F$5&gt;($C45+5),(F$5-$C45)&lt;0),"",_xlfn.XLOOKUP(F$5-$C44,ModelDrivers!$G$4:$G$9,ModelDrivers!$H$4:$H$9))</f>
        <v/>
      </c>
      <c r="G45" s="61" t="str">
        <f>IF(OR(G$5&gt;($C45+5),(G$5-$C45)&lt;0),"",_xlfn.XLOOKUP(G$5-$C44,ModelDrivers!$G$4:$G$9,ModelDrivers!$H$4:$H$9))</f>
        <v/>
      </c>
      <c r="H45" s="61" t="str">
        <f>IF(OR(H$5&gt;($C45+5),(H$5-$C45)&lt;0),"",_xlfn.XLOOKUP(H$5-$C44,ModelDrivers!$G$4:$G$9,ModelDrivers!$H$4:$H$9))</f>
        <v/>
      </c>
      <c r="I45" s="61" t="str">
        <f>IF(OR(I$5&gt;($C45+5),(I$5-$C45)&lt;0),"",_xlfn.XLOOKUP(I$5-$C44,ModelDrivers!$G$4:$G$9,ModelDrivers!$H$4:$H$9))</f>
        <v/>
      </c>
      <c r="J45" s="61" t="str">
        <f>IF(OR(J$5&gt;($C45+5),(J$5-$C45)&lt;0),"",_xlfn.XLOOKUP(J$5-$C44,ModelDrivers!$G$4:$G$9,ModelDrivers!$H$4:$H$9))</f>
        <v/>
      </c>
      <c r="K45" s="61" t="str">
        <f>IF(OR(K$5&gt;($C45+5),(K$5-$C45)&lt;0),"",_xlfn.XLOOKUP(K$5-$C44,ModelDrivers!$G$4:$G$9,ModelDrivers!$H$4:$H$9))</f>
        <v/>
      </c>
      <c r="L45" s="61" t="str">
        <f>IF(OR(L$5&gt;($C45+5),(L$5-$C45)&lt;0),"",_xlfn.XLOOKUP(L$5-$C44,ModelDrivers!$G$4:$G$9,ModelDrivers!$H$4:$H$9))</f>
        <v/>
      </c>
      <c r="M45" s="61" t="str">
        <f>IF(OR(M$5&gt;($C45+5),(M$5-$C45)&lt;0),"",_xlfn.XLOOKUP(M$5-$C44,ModelDrivers!$G$4:$G$9,ModelDrivers!$H$4:$H$9))</f>
        <v/>
      </c>
      <c r="N45" s="61" t="str">
        <f>IF(OR(N$5&gt;($C45+5),(N$5-$C45)&lt;0),"",_xlfn.XLOOKUP(N$5-$C44,ModelDrivers!$G$4:$G$9,ModelDrivers!$H$4:$H$9))</f>
        <v/>
      </c>
      <c r="O45" s="61" t="str">
        <f>IF(OR(O$5&gt;($C45+5),(O$5-$C45)&lt;0),"",_xlfn.XLOOKUP(O$5-$C44,ModelDrivers!$G$4:$G$9,ModelDrivers!$H$4:$H$9))</f>
        <v/>
      </c>
      <c r="P45" s="47"/>
    </row>
    <row r="46" spans="3:16" hidden="1" outlineLevel="2" x14ac:dyDescent="0.35">
      <c r="C46" s="57"/>
      <c r="N46" s="47"/>
      <c r="O46" s="47"/>
      <c r="P46" s="47"/>
    </row>
    <row r="47" spans="3:16" hidden="1" outlineLevel="2" x14ac:dyDescent="0.35">
      <c r="C47" s="57"/>
      <c r="N47" s="47"/>
      <c r="O47" s="47"/>
      <c r="P47" s="47"/>
    </row>
    <row r="48" spans="3:16" hidden="1" outlineLevel="2" x14ac:dyDescent="0.35">
      <c r="C48" s="57"/>
      <c r="N48" s="47"/>
      <c r="O48" s="47"/>
      <c r="P48" s="47"/>
    </row>
    <row r="49" spans="3:16" hidden="1" outlineLevel="2" x14ac:dyDescent="0.35">
      <c r="C49" s="57"/>
      <c r="H49" s="62" t="str">
        <f>IFERROR(IF(H$8&lt;($C51+6),HLOOKUP($C51,$D$8:$AA$10,3,FALSE)*H20,G51),"")</f>
        <v/>
      </c>
      <c r="I49" s="62" t="str">
        <f t="shared" ref="I49:M50" si="8">IFERROR(IF(I$8&lt;($C51+6),HLOOKUP($C51,$D$8:$AA$10,3,FALSE)*I20,H49),"")</f>
        <v/>
      </c>
      <c r="J49" s="62" t="str">
        <f t="shared" si="8"/>
        <v/>
      </c>
      <c r="K49" s="62" t="str">
        <f t="shared" si="8"/>
        <v/>
      </c>
      <c r="L49" s="62" t="str">
        <f t="shared" si="8"/>
        <v/>
      </c>
      <c r="M49" s="62" t="str">
        <f t="shared" si="8"/>
        <v/>
      </c>
      <c r="N49" s="47"/>
      <c r="O49" s="47"/>
      <c r="P49" s="47"/>
    </row>
    <row r="50" spans="3:16" ht="15.5" hidden="1" outlineLevel="2" x14ac:dyDescent="0.35">
      <c r="C50" s="60" t="s">
        <v>81</v>
      </c>
      <c r="H50" s="62" t="str">
        <f>IFERROR(IF(H$8&lt;($C52+6),HLOOKUP($C52,$D$8:$AA$10,3,FALSE)*H21,G52),"")</f>
        <v/>
      </c>
      <c r="I50" s="62" t="str">
        <f t="shared" si="8"/>
        <v/>
      </c>
      <c r="J50" s="62" t="str">
        <f t="shared" si="8"/>
        <v/>
      </c>
      <c r="K50" s="62" t="str">
        <f t="shared" si="8"/>
        <v/>
      </c>
      <c r="L50" s="62" t="str">
        <f t="shared" si="8"/>
        <v/>
      </c>
      <c r="M50" s="62" t="str">
        <f t="shared" si="8"/>
        <v/>
      </c>
      <c r="N50" s="47"/>
      <c r="O50" s="47"/>
      <c r="P50" s="47"/>
    </row>
    <row r="51" spans="3:16" hidden="1" outlineLevel="2" x14ac:dyDescent="0.35">
      <c r="C51" s="57">
        <v>1</v>
      </c>
      <c r="D51" s="62">
        <f t="shared" ref="D51:P51" si="9">IFERROR(IF(D$8&lt;($C51+6),_xlfn.XLOOKUP($C51,$5:$5,$15:$15)*D22,C51),"")</f>
        <v>728.00000000000011</v>
      </c>
      <c r="E51" s="62">
        <f t="shared" si="9"/>
        <v>325</v>
      </c>
      <c r="F51" s="62">
        <f t="shared" si="9"/>
        <v>325</v>
      </c>
      <c r="G51" s="62">
        <f t="shared" si="9"/>
        <v>299</v>
      </c>
      <c r="H51" s="62">
        <f t="shared" si="9"/>
        <v>143</v>
      </c>
      <c r="I51" s="62">
        <f t="shared" si="9"/>
        <v>143</v>
      </c>
      <c r="J51" s="62">
        <f t="shared" si="9"/>
        <v>0</v>
      </c>
      <c r="K51" s="62">
        <f t="shared" si="9"/>
        <v>0</v>
      </c>
      <c r="L51" s="62">
        <f t="shared" si="9"/>
        <v>0</v>
      </c>
      <c r="M51" s="62">
        <f t="shared" si="9"/>
        <v>0</v>
      </c>
      <c r="N51" s="62">
        <f t="shared" si="9"/>
        <v>0</v>
      </c>
      <c r="O51" s="62">
        <f t="shared" si="9"/>
        <v>0</v>
      </c>
      <c r="P51" s="62">
        <f t="shared" si="9"/>
        <v>0</v>
      </c>
    </row>
    <row r="52" spans="3:16" hidden="1" outlineLevel="2" x14ac:dyDescent="0.35">
      <c r="C52" s="57">
        <f t="shared" ref="C52:C74" si="10">C51+1</f>
        <v>2</v>
      </c>
      <c r="D52" s="62" t="str">
        <f t="shared" ref="D52:P52" si="11">IFERROR(IF(D$8&lt;($C52+6),_xlfn.XLOOKUP($C52,$5:$5,$15:$15)*D23,C52),"")</f>
        <v/>
      </c>
      <c r="E52" s="62">
        <f t="shared" si="11"/>
        <v>1120</v>
      </c>
      <c r="F52" s="62">
        <f t="shared" si="11"/>
        <v>500</v>
      </c>
      <c r="G52" s="62">
        <f t="shared" si="11"/>
        <v>500</v>
      </c>
      <c r="H52" s="62">
        <f t="shared" si="11"/>
        <v>460</v>
      </c>
      <c r="I52" s="62">
        <f t="shared" si="11"/>
        <v>220</v>
      </c>
      <c r="J52" s="62">
        <f t="shared" si="11"/>
        <v>220</v>
      </c>
      <c r="K52" s="62" t="str">
        <f t="shared" si="11"/>
        <v/>
      </c>
      <c r="L52" s="62" t="str">
        <f t="shared" si="11"/>
        <v/>
      </c>
      <c r="M52" s="62" t="str">
        <f t="shared" si="11"/>
        <v/>
      </c>
      <c r="N52" s="62" t="str">
        <f t="shared" si="11"/>
        <v/>
      </c>
      <c r="O52" s="62" t="str">
        <f t="shared" si="11"/>
        <v/>
      </c>
      <c r="P52" s="62">
        <f t="shared" si="11"/>
        <v>0</v>
      </c>
    </row>
    <row r="53" spans="3:16" hidden="1" outlineLevel="2" x14ac:dyDescent="0.35">
      <c r="C53" s="57">
        <f t="shared" si="10"/>
        <v>3</v>
      </c>
      <c r="D53" s="62" t="str">
        <f t="shared" ref="D53:P53" si="12">IFERROR(IF(D$8&lt;($C53+6),_xlfn.XLOOKUP($C53,$5:$5,$15:$15)*D24,C53),"")</f>
        <v/>
      </c>
      <c r="E53" s="62" t="str">
        <f t="shared" si="12"/>
        <v/>
      </c>
      <c r="F53" s="62">
        <f t="shared" si="12"/>
        <v>1848.0000000000002</v>
      </c>
      <c r="G53" s="62">
        <f t="shared" si="12"/>
        <v>825</v>
      </c>
      <c r="H53" s="62">
        <f t="shared" si="12"/>
        <v>825</v>
      </c>
      <c r="I53" s="62">
        <f t="shared" si="12"/>
        <v>759</v>
      </c>
      <c r="J53" s="62">
        <f t="shared" si="12"/>
        <v>363</v>
      </c>
      <c r="K53" s="62">
        <f t="shared" si="12"/>
        <v>363</v>
      </c>
      <c r="L53" s="62" t="str">
        <f t="shared" si="12"/>
        <v/>
      </c>
      <c r="M53" s="62" t="str">
        <f t="shared" si="12"/>
        <v/>
      </c>
      <c r="N53" s="62" t="str">
        <f t="shared" si="12"/>
        <v/>
      </c>
      <c r="O53" s="62" t="str">
        <f t="shared" si="12"/>
        <v/>
      </c>
      <c r="P53" s="62">
        <f t="shared" si="12"/>
        <v>0</v>
      </c>
    </row>
    <row r="54" spans="3:16" hidden="1" outlineLevel="2" x14ac:dyDescent="0.35">
      <c r="C54" s="57">
        <f t="shared" si="10"/>
        <v>4</v>
      </c>
      <c r="D54" s="62" t="str">
        <f t="shared" ref="D54:P54" si="13">IFERROR(IF(D$8&lt;($C54+6),_xlfn.XLOOKUP($C54,$5:$5,$15:$15)*D25,C54),"")</f>
        <v/>
      </c>
      <c r="E54" s="62" t="str">
        <f t="shared" si="13"/>
        <v/>
      </c>
      <c r="F54" s="62" t="str">
        <f t="shared" si="13"/>
        <v/>
      </c>
      <c r="G54" s="62">
        <f t="shared" si="13"/>
        <v>1940.4</v>
      </c>
      <c r="H54" s="62">
        <f t="shared" si="13"/>
        <v>866.25</v>
      </c>
      <c r="I54" s="62">
        <f t="shared" si="13"/>
        <v>866.25</v>
      </c>
      <c r="J54" s="62">
        <f t="shared" si="13"/>
        <v>796.95</v>
      </c>
      <c r="K54" s="62">
        <f t="shared" si="13"/>
        <v>381.15</v>
      </c>
      <c r="L54" s="62">
        <f t="shared" si="13"/>
        <v>381.15</v>
      </c>
      <c r="M54" s="62" t="str">
        <f t="shared" si="13"/>
        <v/>
      </c>
      <c r="N54" s="62" t="str">
        <f t="shared" si="13"/>
        <v/>
      </c>
      <c r="O54" s="62" t="str">
        <f t="shared" si="13"/>
        <v/>
      </c>
      <c r="P54" s="62">
        <f t="shared" si="13"/>
        <v>0</v>
      </c>
    </row>
    <row r="55" spans="3:16" hidden="1" outlineLevel="2" x14ac:dyDescent="0.35">
      <c r="C55" s="57">
        <f t="shared" si="10"/>
        <v>5</v>
      </c>
      <c r="D55" s="62" t="str">
        <f t="shared" ref="D55:P55" si="14">IFERROR(IF(D$8&lt;($C55+6),_xlfn.XLOOKUP($C55,$5:$5,$15:$15)*D26,C55),"")</f>
        <v/>
      </c>
      <c r="E55" s="62" t="str">
        <f t="shared" si="14"/>
        <v/>
      </c>
      <c r="F55" s="62" t="str">
        <f t="shared" si="14"/>
        <v/>
      </c>
      <c r="G55" s="62" t="str">
        <f t="shared" si="14"/>
        <v/>
      </c>
      <c r="H55" s="62">
        <f t="shared" si="14"/>
        <v>2037.4200000000003</v>
      </c>
      <c r="I55" s="62">
        <f t="shared" si="14"/>
        <v>909.5625</v>
      </c>
      <c r="J55" s="62">
        <f t="shared" si="14"/>
        <v>909.5625</v>
      </c>
      <c r="K55" s="62">
        <f t="shared" si="14"/>
        <v>836.79750000000001</v>
      </c>
      <c r="L55" s="62">
        <f t="shared" si="14"/>
        <v>400.20749999999998</v>
      </c>
      <c r="M55" s="62">
        <f t="shared" si="14"/>
        <v>400.20749999999998</v>
      </c>
      <c r="N55" s="62" t="str">
        <f t="shared" si="14"/>
        <v/>
      </c>
      <c r="O55" s="62" t="str">
        <f t="shared" si="14"/>
        <v/>
      </c>
      <c r="P55" s="62">
        <f t="shared" si="14"/>
        <v>0</v>
      </c>
    </row>
    <row r="56" spans="3:16" hidden="1" outlineLevel="2" x14ac:dyDescent="0.35">
      <c r="C56" s="57">
        <f t="shared" si="10"/>
        <v>6</v>
      </c>
      <c r="D56" s="62" t="str">
        <f t="shared" ref="D56:P56" si="15">IFERROR(IF(D$8&lt;($C56+6),_xlfn.XLOOKUP($C56,$5:$5,$15:$15)*D27,C56),"")</f>
        <v/>
      </c>
      <c r="E56" s="62" t="str">
        <f t="shared" si="15"/>
        <v/>
      </c>
      <c r="F56" s="62" t="str">
        <f t="shared" si="15"/>
        <v/>
      </c>
      <c r="G56" s="62" t="str">
        <f t="shared" si="15"/>
        <v/>
      </c>
      <c r="H56" s="62" t="str">
        <f t="shared" si="15"/>
        <v/>
      </c>
      <c r="I56" s="62">
        <f t="shared" si="15"/>
        <v>2139.2910000000002</v>
      </c>
      <c r="J56" s="62">
        <f t="shared" si="15"/>
        <v>955.04062499999998</v>
      </c>
      <c r="K56" s="62">
        <f t="shared" si="15"/>
        <v>955.04062499999998</v>
      </c>
      <c r="L56" s="62">
        <f t="shared" si="15"/>
        <v>878.63737500000002</v>
      </c>
      <c r="M56" s="62">
        <f t="shared" si="15"/>
        <v>420.21787499999999</v>
      </c>
      <c r="N56" s="62">
        <f t="shared" si="15"/>
        <v>420.21787499999999</v>
      </c>
      <c r="O56" s="62" t="str">
        <f t="shared" si="15"/>
        <v/>
      </c>
      <c r="P56" s="62">
        <f t="shared" si="15"/>
        <v>0</v>
      </c>
    </row>
    <row r="57" spans="3:16" hidden="1" outlineLevel="2" x14ac:dyDescent="0.35">
      <c r="C57" s="57">
        <f t="shared" si="10"/>
        <v>7</v>
      </c>
      <c r="D57" s="62" t="str">
        <f t="shared" ref="D57:P57" si="16">IFERROR(IF(D$8&lt;($C57+6),_xlfn.XLOOKUP($C57,$5:$5,$15:$15)*D28,C57),"")</f>
        <v/>
      </c>
      <c r="E57" s="62" t="str">
        <f t="shared" si="16"/>
        <v/>
      </c>
      <c r="F57" s="62" t="str">
        <f t="shared" si="16"/>
        <v/>
      </c>
      <c r="G57" s="62" t="str">
        <f t="shared" si="16"/>
        <v/>
      </c>
      <c r="H57" s="62" t="str">
        <f t="shared" si="16"/>
        <v/>
      </c>
      <c r="I57" s="62" t="str">
        <f t="shared" si="16"/>
        <v/>
      </c>
      <c r="J57" s="62">
        <f t="shared" si="16"/>
        <v>2246.2555500000003</v>
      </c>
      <c r="K57" s="62">
        <f t="shared" si="16"/>
        <v>1002.7926562500001</v>
      </c>
      <c r="L57" s="62">
        <f t="shared" si="16"/>
        <v>1002.7926562500001</v>
      </c>
      <c r="M57" s="62">
        <f t="shared" si="16"/>
        <v>922.56924375000006</v>
      </c>
      <c r="N57" s="62">
        <f t="shared" si="16"/>
        <v>441.22876875000003</v>
      </c>
      <c r="O57" s="62">
        <f t="shared" si="16"/>
        <v>441.22876875000003</v>
      </c>
      <c r="P57" s="62">
        <f t="shared" si="16"/>
        <v>0</v>
      </c>
    </row>
    <row r="58" spans="3:16" hidden="1" outlineLevel="2" x14ac:dyDescent="0.35">
      <c r="C58" s="57">
        <f t="shared" si="10"/>
        <v>8</v>
      </c>
      <c r="D58" s="62" t="str">
        <f t="shared" ref="D58:P58" si="17">IFERROR(IF(D$8&lt;($C58+6),_xlfn.XLOOKUP($C58,$5:$5,$15:$15)*D29,C58),"")</f>
        <v/>
      </c>
      <c r="E58" s="62" t="str">
        <f t="shared" si="17"/>
        <v/>
      </c>
      <c r="F58" s="62" t="str">
        <f t="shared" si="17"/>
        <v/>
      </c>
      <c r="G58" s="62" t="str">
        <f t="shared" si="17"/>
        <v/>
      </c>
      <c r="H58" s="62" t="str">
        <f t="shared" si="17"/>
        <v/>
      </c>
      <c r="I58" s="62" t="str">
        <f t="shared" si="17"/>
        <v/>
      </c>
      <c r="J58" s="62" t="str">
        <f t="shared" si="17"/>
        <v/>
      </c>
      <c r="K58" s="62">
        <f t="shared" si="17"/>
        <v>2358.5683275000006</v>
      </c>
      <c r="L58" s="62">
        <f t="shared" si="17"/>
        <v>1052.9322890625001</v>
      </c>
      <c r="M58" s="62">
        <f t="shared" si="17"/>
        <v>1052.9322890625001</v>
      </c>
      <c r="N58" s="62">
        <f t="shared" si="17"/>
        <v>968.69770593750013</v>
      </c>
      <c r="O58" s="62">
        <f t="shared" si="17"/>
        <v>463.29020718750007</v>
      </c>
      <c r="P58" s="62">
        <f t="shared" si="17"/>
        <v>0</v>
      </c>
    </row>
    <row r="59" spans="3:16" hidden="1" outlineLevel="2" x14ac:dyDescent="0.35">
      <c r="C59" s="57">
        <f t="shared" si="10"/>
        <v>9</v>
      </c>
      <c r="D59" s="62" t="str">
        <f t="shared" ref="D59:P59" si="18">IFERROR(IF(D$8&lt;($C59+6),_xlfn.XLOOKUP($C59,$5:$5,$15:$15)*D30,C59),"")</f>
        <v/>
      </c>
      <c r="E59" s="62" t="str">
        <f t="shared" si="18"/>
        <v/>
      </c>
      <c r="F59" s="62" t="str">
        <f t="shared" si="18"/>
        <v/>
      </c>
      <c r="G59" s="62" t="str">
        <f t="shared" si="18"/>
        <v/>
      </c>
      <c r="H59" s="62" t="str">
        <f t="shared" si="18"/>
        <v/>
      </c>
      <c r="I59" s="62" t="str">
        <f t="shared" si="18"/>
        <v/>
      </c>
      <c r="J59" s="62" t="str">
        <f t="shared" si="18"/>
        <v/>
      </c>
      <c r="K59" s="62" t="str">
        <f t="shared" si="18"/>
        <v/>
      </c>
      <c r="L59" s="62">
        <f t="shared" si="18"/>
        <v>2476.4967438750004</v>
      </c>
      <c r="M59" s="62">
        <f t="shared" si="18"/>
        <v>1105.5789035156251</v>
      </c>
      <c r="N59" s="62">
        <f t="shared" si="18"/>
        <v>1105.5789035156251</v>
      </c>
      <c r="O59" s="62">
        <f t="shared" si="18"/>
        <v>1017.1325912343751</v>
      </c>
      <c r="P59" s="62">
        <f t="shared" si="18"/>
        <v>0</v>
      </c>
    </row>
    <row r="60" spans="3:16" hidden="1" outlineLevel="2" x14ac:dyDescent="0.35">
      <c r="C60" s="57">
        <f t="shared" si="10"/>
        <v>10</v>
      </c>
      <c r="D60" s="62" t="str">
        <f t="shared" ref="D60:P60" si="19">IFERROR(IF(D$8&lt;($C60+6),_xlfn.XLOOKUP($C60,$5:$5,$15:$15)*D31,C60),"")</f>
        <v/>
      </c>
      <c r="E60" s="62" t="str">
        <f t="shared" si="19"/>
        <v/>
      </c>
      <c r="F60" s="62" t="str">
        <f t="shared" si="19"/>
        <v/>
      </c>
      <c r="G60" s="62" t="str">
        <f t="shared" si="19"/>
        <v/>
      </c>
      <c r="H60" s="62" t="str">
        <f t="shared" si="19"/>
        <v/>
      </c>
      <c r="I60" s="62" t="str">
        <f t="shared" si="19"/>
        <v/>
      </c>
      <c r="J60" s="62" t="str">
        <f t="shared" si="19"/>
        <v/>
      </c>
      <c r="K60" s="62" t="str">
        <f t="shared" si="19"/>
        <v/>
      </c>
      <c r="L60" s="62" t="str">
        <f t="shared" si="19"/>
        <v/>
      </c>
      <c r="M60" s="62">
        <f t="shared" si="19"/>
        <v>2600.3215810687511</v>
      </c>
      <c r="N60" s="62">
        <f t="shared" si="19"/>
        <v>1160.8578486914066</v>
      </c>
      <c r="O60" s="62">
        <f t="shared" si="19"/>
        <v>1160.8578486914066</v>
      </c>
      <c r="P60" s="62">
        <f t="shared" si="19"/>
        <v>0</v>
      </c>
    </row>
    <row r="61" spans="3:16" hidden="1" outlineLevel="2" x14ac:dyDescent="0.35">
      <c r="C61" s="57">
        <f t="shared" si="10"/>
        <v>11</v>
      </c>
      <c r="D61" s="62" t="str">
        <f t="shared" ref="D61:P61" si="20">IFERROR(IF(D$8&lt;($C61+6),_xlfn.XLOOKUP($C61,$5:$5,$15:$15)*D32,C61),"")</f>
        <v/>
      </c>
      <c r="E61" s="62" t="str">
        <f t="shared" si="20"/>
        <v/>
      </c>
      <c r="F61" s="62" t="str">
        <f t="shared" si="20"/>
        <v/>
      </c>
      <c r="G61" s="62" t="str">
        <f t="shared" si="20"/>
        <v/>
      </c>
      <c r="H61" s="62" t="str">
        <f t="shared" si="20"/>
        <v/>
      </c>
      <c r="I61" s="62" t="str">
        <f t="shared" si="20"/>
        <v/>
      </c>
      <c r="J61" s="62" t="str">
        <f t="shared" si="20"/>
        <v/>
      </c>
      <c r="K61" s="62" t="str">
        <f t="shared" si="20"/>
        <v/>
      </c>
      <c r="L61" s="62" t="str">
        <f t="shared" si="20"/>
        <v/>
      </c>
      <c r="M61" s="62" t="str">
        <f t="shared" si="20"/>
        <v/>
      </c>
      <c r="N61" s="62">
        <f t="shared" si="20"/>
        <v>2730.3376601221889</v>
      </c>
      <c r="O61" s="62">
        <f t="shared" si="20"/>
        <v>1218.900741125977</v>
      </c>
      <c r="P61" s="62">
        <f t="shared" si="20"/>
        <v>0</v>
      </c>
    </row>
    <row r="62" spans="3:16" hidden="1" outlineLevel="2" x14ac:dyDescent="0.35">
      <c r="C62" s="57">
        <f t="shared" si="10"/>
        <v>12</v>
      </c>
      <c r="D62" s="62" t="str">
        <f t="shared" ref="D62:P62" si="21">IFERROR(IF(D$8&lt;($C62+6),_xlfn.XLOOKUP($C62,$5:$5,$15:$15)*D33,C62),"")</f>
        <v/>
      </c>
      <c r="E62" s="62" t="str">
        <f t="shared" si="21"/>
        <v/>
      </c>
      <c r="F62" s="62" t="str">
        <f t="shared" si="21"/>
        <v/>
      </c>
      <c r="G62" s="62" t="str">
        <f t="shared" si="21"/>
        <v/>
      </c>
      <c r="H62" s="62" t="str">
        <f t="shared" si="21"/>
        <v/>
      </c>
      <c r="I62" s="62" t="str">
        <f t="shared" si="21"/>
        <v/>
      </c>
      <c r="J62" s="62" t="str">
        <f t="shared" si="21"/>
        <v/>
      </c>
      <c r="K62" s="62" t="str">
        <f t="shared" si="21"/>
        <v/>
      </c>
      <c r="L62" s="62" t="str">
        <f t="shared" si="21"/>
        <v/>
      </c>
      <c r="M62" s="62" t="str">
        <f t="shared" si="21"/>
        <v/>
      </c>
      <c r="N62" s="62" t="str">
        <f t="shared" si="21"/>
        <v/>
      </c>
      <c r="O62" s="62">
        <f t="shared" si="21"/>
        <v>2866.8545431282982</v>
      </c>
      <c r="P62" s="62">
        <f t="shared" si="21"/>
        <v>0</v>
      </c>
    </row>
    <row r="63" spans="3:16" hidden="1" outlineLevel="2" x14ac:dyDescent="0.35">
      <c r="C63" s="57">
        <f t="shared" si="10"/>
        <v>13</v>
      </c>
      <c r="D63" s="62" t="str">
        <f t="shared" ref="D63:P63" si="22">IFERROR(IF(D$8&lt;($C63+6),_xlfn.XLOOKUP($C63,$5:$5,$15:$15)*D34,C63),"")</f>
        <v/>
      </c>
      <c r="E63" s="62" t="str">
        <f t="shared" si="22"/>
        <v/>
      </c>
      <c r="F63" s="62" t="str">
        <f t="shared" si="22"/>
        <v/>
      </c>
      <c r="G63" s="62" t="str">
        <f t="shared" si="22"/>
        <v/>
      </c>
      <c r="H63" s="62" t="str">
        <f t="shared" si="22"/>
        <v/>
      </c>
      <c r="I63" s="62" t="str">
        <f t="shared" si="22"/>
        <v/>
      </c>
      <c r="J63" s="62" t="str">
        <f t="shared" si="22"/>
        <v/>
      </c>
      <c r="K63" s="62" t="str">
        <f t="shared" si="22"/>
        <v/>
      </c>
      <c r="L63" s="62" t="str">
        <f t="shared" si="22"/>
        <v/>
      </c>
      <c r="M63" s="62" t="str">
        <f t="shared" si="22"/>
        <v/>
      </c>
      <c r="N63" s="62" t="str">
        <f t="shared" si="22"/>
        <v/>
      </c>
      <c r="O63" s="62" t="str">
        <f t="shared" si="22"/>
        <v/>
      </c>
      <c r="P63" s="62" t="str">
        <f t="shared" si="22"/>
        <v/>
      </c>
    </row>
    <row r="64" spans="3:16" hidden="1" outlineLevel="2" x14ac:dyDescent="0.35">
      <c r="C64" s="57">
        <f t="shared" si="10"/>
        <v>14</v>
      </c>
      <c r="D64" s="62" t="str">
        <f t="shared" ref="D64:P64" si="23">IFERROR(IF(D$8&lt;($C64+6),_xlfn.XLOOKUP($C64,$5:$5,$15:$15)*D35,C64),"")</f>
        <v/>
      </c>
      <c r="E64" s="62" t="str">
        <f t="shared" si="23"/>
        <v/>
      </c>
      <c r="F64" s="62" t="str">
        <f t="shared" si="23"/>
        <v/>
      </c>
      <c r="G64" s="62" t="str">
        <f t="shared" si="23"/>
        <v/>
      </c>
      <c r="H64" s="62" t="str">
        <f t="shared" si="23"/>
        <v/>
      </c>
      <c r="I64" s="62" t="str">
        <f t="shared" si="23"/>
        <v/>
      </c>
      <c r="J64" s="62" t="str">
        <f t="shared" si="23"/>
        <v/>
      </c>
      <c r="K64" s="62" t="str">
        <f t="shared" si="23"/>
        <v/>
      </c>
      <c r="L64" s="62" t="str">
        <f t="shared" si="23"/>
        <v/>
      </c>
      <c r="M64" s="62" t="str">
        <f t="shared" si="23"/>
        <v/>
      </c>
      <c r="N64" s="62" t="str">
        <f t="shared" si="23"/>
        <v/>
      </c>
      <c r="O64" s="62" t="str">
        <f t="shared" si="23"/>
        <v/>
      </c>
      <c r="P64" s="62" t="str">
        <f t="shared" si="23"/>
        <v/>
      </c>
    </row>
    <row r="65" spans="3:16" hidden="1" outlineLevel="2" x14ac:dyDescent="0.35">
      <c r="C65" s="57">
        <f t="shared" si="10"/>
        <v>15</v>
      </c>
      <c r="D65" s="62" t="str">
        <f t="shared" ref="D65:P65" si="24">IFERROR(IF(D$8&lt;($C65+6),_xlfn.XLOOKUP($C65,$5:$5,$15:$15)*D36,C65),"")</f>
        <v/>
      </c>
      <c r="E65" s="62" t="str">
        <f t="shared" si="24"/>
        <v/>
      </c>
      <c r="F65" s="62" t="str">
        <f t="shared" si="24"/>
        <v/>
      </c>
      <c r="G65" s="62" t="str">
        <f t="shared" si="24"/>
        <v/>
      </c>
      <c r="H65" s="62" t="str">
        <f t="shared" si="24"/>
        <v/>
      </c>
      <c r="I65" s="62" t="str">
        <f t="shared" si="24"/>
        <v/>
      </c>
      <c r="J65" s="62" t="str">
        <f t="shared" si="24"/>
        <v/>
      </c>
      <c r="K65" s="62" t="str">
        <f t="shared" si="24"/>
        <v/>
      </c>
      <c r="L65" s="62" t="str">
        <f t="shared" si="24"/>
        <v/>
      </c>
      <c r="M65" s="62" t="str">
        <f t="shared" si="24"/>
        <v/>
      </c>
      <c r="N65" s="62" t="str">
        <f t="shared" si="24"/>
        <v/>
      </c>
      <c r="O65" s="62" t="str">
        <f t="shared" si="24"/>
        <v/>
      </c>
      <c r="P65" s="62" t="str">
        <f t="shared" si="24"/>
        <v/>
      </c>
    </row>
    <row r="66" spans="3:16" hidden="1" outlineLevel="2" x14ac:dyDescent="0.35">
      <c r="C66" s="57">
        <f t="shared" si="10"/>
        <v>16</v>
      </c>
      <c r="D66" s="62" t="str">
        <f t="shared" ref="D66:P66" si="25">IFERROR(IF(D$8&lt;($C66+6),_xlfn.XLOOKUP($C66,$5:$5,$15:$15)*D37,C66),"")</f>
        <v/>
      </c>
      <c r="E66" s="62" t="str">
        <f t="shared" si="25"/>
        <v/>
      </c>
      <c r="F66" s="62" t="str">
        <f t="shared" si="25"/>
        <v/>
      </c>
      <c r="G66" s="62" t="str">
        <f t="shared" si="25"/>
        <v/>
      </c>
      <c r="H66" s="62" t="str">
        <f t="shared" si="25"/>
        <v/>
      </c>
      <c r="I66" s="62" t="str">
        <f t="shared" si="25"/>
        <v/>
      </c>
      <c r="J66" s="62" t="str">
        <f t="shared" si="25"/>
        <v/>
      </c>
      <c r="K66" s="62" t="str">
        <f t="shared" si="25"/>
        <v/>
      </c>
      <c r="L66" s="62" t="str">
        <f t="shared" si="25"/>
        <v/>
      </c>
      <c r="M66" s="62" t="str">
        <f t="shared" si="25"/>
        <v/>
      </c>
      <c r="N66" s="62" t="str">
        <f t="shared" si="25"/>
        <v/>
      </c>
      <c r="O66" s="62" t="str">
        <f t="shared" si="25"/>
        <v/>
      </c>
      <c r="P66" s="62" t="str">
        <f t="shared" si="25"/>
        <v/>
      </c>
    </row>
    <row r="67" spans="3:16" hidden="1" outlineLevel="2" x14ac:dyDescent="0.35">
      <c r="C67" s="57">
        <f t="shared" si="10"/>
        <v>17</v>
      </c>
      <c r="D67" s="62" t="str">
        <f t="shared" ref="D67:P67" si="26">IFERROR(IF(D$8&lt;($C67+6),_xlfn.XLOOKUP($C67,$5:$5,$15:$15)*D38,C67),"")</f>
        <v/>
      </c>
      <c r="E67" s="62" t="str">
        <f t="shared" si="26"/>
        <v/>
      </c>
      <c r="F67" s="62" t="str">
        <f t="shared" si="26"/>
        <v/>
      </c>
      <c r="G67" s="62" t="str">
        <f t="shared" si="26"/>
        <v/>
      </c>
      <c r="H67" s="62" t="str">
        <f t="shared" si="26"/>
        <v/>
      </c>
      <c r="I67" s="62" t="str">
        <f t="shared" si="26"/>
        <v/>
      </c>
      <c r="J67" s="62" t="str">
        <f t="shared" si="26"/>
        <v/>
      </c>
      <c r="K67" s="62" t="str">
        <f t="shared" si="26"/>
        <v/>
      </c>
      <c r="L67" s="62" t="str">
        <f t="shared" si="26"/>
        <v/>
      </c>
      <c r="M67" s="62" t="str">
        <f t="shared" si="26"/>
        <v/>
      </c>
      <c r="N67" s="62" t="str">
        <f t="shared" si="26"/>
        <v/>
      </c>
      <c r="O67" s="62" t="str">
        <f t="shared" si="26"/>
        <v/>
      </c>
      <c r="P67" s="62" t="str">
        <f t="shared" si="26"/>
        <v/>
      </c>
    </row>
    <row r="68" spans="3:16" hidden="1" outlineLevel="2" x14ac:dyDescent="0.35">
      <c r="C68" s="57">
        <f t="shared" si="10"/>
        <v>18</v>
      </c>
      <c r="D68" s="62" t="str">
        <f t="shared" ref="D68:P68" si="27">IFERROR(IF(D$8&lt;($C68+6),_xlfn.XLOOKUP($C68,$5:$5,$15:$15)*D39,C68),"")</f>
        <v/>
      </c>
      <c r="E68" s="62" t="str">
        <f t="shared" si="27"/>
        <v/>
      </c>
      <c r="F68" s="62" t="str">
        <f t="shared" si="27"/>
        <v/>
      </c>
      <c r="G68" s="62" t="str">
        <f t="shared" si="27"/>
        <v/>
      </c>
      <c r="H68" s="62" t="str">
        <f t="shared" si="27"/>
        <v/>
      </c>
      <c r="I68" s="62" t="str">
        <f t="shared" si="27"/>
        <v/>
      </c>
      <c r="J68" s="62" t="str">
        <f t="shared" si="27"/>
        <v/>
      </c>
      <c r="K68" s="62" t="str">
        <f t="shared" si="27"/>
        <v/>
      </c>
      <c r="L68" s="62" t="str">
        <f t="shared" si="27"/>
        <v/>
      </c>
      <c r="M68" s="62" t="str">
        <f t="shared" si="27"/>
        <v/>
      </c>
      <c r="N68" s="62" t="str">
        <f t="shared" si="27"/>
        <v/>
      </c>
      <c r="O68" s="62" t="str">
        <f t="shared" si="27"/>
        <v/>
      </c>
      <c r="P68" s="62" t="str">
        <f t="shared" si="27"/>
        <v/>
      </c>
    </row>
    <row r="69" spans="3:16" hidden="1" outlineLevel="2" x14ac:dyDescent="0.35">
      <c r="C69" s="57">
        <f t="shared" si="10"/>
        <v>19</v>
      </c>
      <c r="D69" s="62" t="str">
        <f t="shared" ref="D69:P69" si="28">IFERROR(IF(D$8&lt;($C69+6),_xlfn.XLOOKUP($C69,$5:$5,$15:$15)*D40,C69),"")</f>
        <v/>
      </c>
      <c r="E69" s="62" t="str">
        <f t="shared" si="28"/>
        <v/>
      </c>
      <c r="F69" s="62" t="str">
        <f t="shared" si="28"/>
        <v/>
      </c>
      <c r="G69" s="62" t="str">
        <f t="shared" si="28"/>
        <v/>
      </c>
      <c r="H69" s="62" t="str">
        <f t="shared" si="28"/>
        <v/>
      </c>
      <c r="I69" s="62" t="str">
        <f t="shared" si="28"/>
        <v/>
      </c>
      <c r="J69" s="62" t="str">
        <f t="shared" si="28"/>
        <v/>
      </c>
      <c r="K69" s="62" t="str">
        <f t="shared" si="28"/>
        <v/>
      </c>
      <c r="L69" s="62" t="str">
        <f t="shared" si="28"/>
        <v/>
      </c>
      <c r="M69" s="62" t="str">
        <f t="shared" si="28"/>
        <v/>
      </c>
      <c r="N69" s="62" t="str">
        <f t="shared" si="28"/>
        <v/>
      </c>
      <c r="O69" s="62" t="str">
        <f t="shared" si="28"/>
        <v/>
      </c>
      <c r="P69" s="62" t="str">
        <f t="shared" si="28"/>
        <v/>
      </c>
    </row>
    <row r="70" spans="3:16" hidden="1" outlineLevel="2" x14ac:dyDescent="0.35">
      <c r="C70" s="57">
        <f t="shared" si="10"/>
        <v>20</v>
      </c>
      <c r="D70" s="62" t="str">
        <f t="shared" ref="D70:P70" si="29">IFERROR(IF(D$8&lt;($C70+6),_xlfn.XLOOKUP($C70,$5:$5,$15:$15)*D41,C70),"")</f>
        <v/>
      </c>
      <c r="E70" s="62" t="str">
        <f t="shared" si="29"/>
        <v/>
      </c>
      <c r="F70" s="62" t="str">
        <f t="shared" si="29"/>
        <v/>
      </c>
      <c r="G70" s="62" t="str">
        <f t="shared" si="29"/>
        <v/>
      </c>
      <c r="H70" s="62" t="str">
        <f t="shared" si="29"/>
        <v/>
      </c>
      <c r="I70" s="62" t="str">
        <f t="shared" si="29"/>
        <v/>
      </c>
      <c r="J70" s="62" t="str">
        <f t="shared" si="29"/>
        <v/>
      </c>
      <c r="K70" s="62" t="str">
        <f t="shared" si="29"/>
        <v/>
      </c>
      <c r="L70" s="62" t="str">
        <f t="shared" si="29"/>
        <v/>
      </c>
      <c r="M70" s="62" t="str">
        <f t="shared" si="29"/>
        <v/>
      </c>
      <c r="N70" s="62" t="str">
        <f t="shared" si="29"/>
        <v/>
      </c>
      <c r="O70" s="62" t="str">
        <f t="shared" si="29"/>
        <v/>
      </c>
      <c r="P70" s="62" t="str">
        <f t="shared" si="29"/>
        <v/>
      </c>
    </row>
    <row r="71" spans="3:16" hidden="1" outlineLevel="2" x14ac:dyDescent="0.35">
      <c r="C71" s="57">
        <f t="shared" si="10"/>
        <v>21</v>
      </c>
      <c r="D71" s="62" t="str">
        <f t="shared" ref="D71:P71" si="30">IFERROR(IF(D$8&lt;($C71+6),_xlfn.XLOOKUP($C71,$5:$5,$15:$15)*D42,C71),"")</f>
        <v/>
      </c>
      <c r="E71" s="62" t="str">
        <f t="shared" si="30"/>
        <v/>
      </c>
      <c r="F71" s="62" t="str">
        <f t="shared" si="30"/>
        <v/>
      </c>
      <c r="G71" s="62" t="str">
        <f t="shared" si="30"/>
        <v/>
      </c>
      <c r="H71" s="62" t="str">
        <f t="shared" si="30"/>
        <v/>
      </c>
      <c r="I71" s="62" t="str">
        <f t="shared" si="30"/>
        <v/>
      </c>
      <c r="J71" s="62" t="str">
        <f t="shared" si="30"/>
        <v/>
      </c>
      <c r="K71" s="62" t="str">
        <f t="shared" si="30"/>
        <v/>
      </c>
      <c r="L71" s="62" t="str">
        <f t="shared" si="30"/>
        <v/>
      </c>
      <c r="M71" s="62" t="str">
        <f t="shared" si="30"/>
        <v/>
      </c>
      <c r="N71" s="62" t="str">
        <f t="shared" si="30"/>
        <v/>
      </c>
      <c r="O71" s="62" t="str">
        <f t="shared" si="30"/>
        <v/>
      </c>
      <c r="P71" s="62" t="str">
        <f t="shared" si="30"/>
        <v/>
      </c>
    </row>
    <row r="72" spans="3:16" hidden="1" outlineLevel="2" x14ac:dyDescent="0.35">
      <c r="C72" s="57">
        <f t="shared" si="10"/>
        <v>22</v>
      </c>
      <c r="D72" s="62" t="str">
        <f t="shared" ref="D72:P72" si="31">IFERROR(IF(D$8&lt;($C72+6),_xlfn.XLOOKUP($C72,$5:$5,$15:$15)*D43,C72),"")</f>
        <v/>
      </c>
      <c r="E72" s="62" t="str">
        <f t="shared" si="31"/>
        <v/>
      </c>
      <c r="F72" s="62" t="str">
        <f t="shared" si="31"/>
        <v/>
      </c>
      <c r="G72" s="62" t="str">
        <f t="shared" si="31"/>
        <v/>
      </c>
      <c r="H72" s="62" t="str">
        <f t="shared" si="31"/>
        <v/>
      </c>
      <c r="I72" s="62" t="str">
        <f t="shared" si="31"/>
        <v/>
      </c>
      <c r="J72" s="62" t="str">
        <f t="shared" si="31"/>
        <v/>
      </c>
      <c r="K72" s="62" t="str">
        <f t="shared" si="31"/>
        <v/>
      </c>
      <c r="L72" s="62" t="str">
        <f t="shared" si="31"/>
        <v/>
      </c>
      <c r="M72" s="62" t="str">
        <f t="shared" si="31"/>
        <v/>
      </c>
      <c r="N72" s="62" t="str">
        <f t="shared" si="31"/>
        <v/>
      </c>
      <c r="O72" s="62" t="str">
        <f t="shared" si="31"/>
        <v/>
      </c>
      <c r="P72" s="62" t="str">
        <f t="shared" si="31"/>
        <v/>
      </c>
    </row>
    <row r="73" spans="3:16" hidden="1" outlineLevel="2" x14ac:dyDescent="0.35">
      <c r="C73" s="57">
        <f t="shared" si="10"/>
        <v>23</v>
      </c>
      <c r="D73" s="62" t="str">
        <f t="shared" ref="D73:P73" si="32">IFERROR(IF(D$8&lt;($C73+6),_xlfn.XLOOKUP($C73,$5:$5,$15:$15)*D44,C73),"")</f>
        <v/>
      </c>
      <c r="E73" s="62" t="str">
        <f t="shared" si="32"/>
        <v/>
      </c>
      <c r="F73" s="62" t="str">
        <f t="shared" si="32"/>
        <v/>
      </c>
      <c r="G73" s="62" t="str">
        <f t="shared" si="32"/>
        <v/>
      </c>
      <c r="H73" s="62" t="str">
        <f t="shared" si="32"/>
        <v/>
      </c>
      <c r="I73" s="62" t="str">
        <f t="shared" si="32"/>
        <v/>
      </c>
      <c r="J73" s="62" t="str">
        <f t="shared" si="32"/>
        <v/>
      </c>
      <c r="K73" s="62" t="str">
        <f t="shared" si="32"/>
        <v/>
      </c>
      <c r="L73" s="62" t="str">
        <f t="shared" si="32"/>
        <v/>
      </c>
      <c r="M73" s="62" t="str">
        <f t="shared" si="32"/>
        <v/>
      </c>
      <c r="N73" s="62" t="str">
        <f t="shared" si="32"/>
        <v/>
      </c>
      <c r="O73" s="62" t="str">
        <f t="shared" si="32"/>
        <v/>
      </c>
      <c r="P73" s="62" t="str">
        <f t="shared" si="32"/>
        <v/>
      </c>
    </row>
    <row r="74" spans="3:16" hidden="1" outlineLevel="2" x14ac:dyDescent="0.35">
      <c r="C74" s="57">
        <f t="shared" si="10"/>
        <v>24</v>
      </c>
      <c r="D74" s="62" t="str">
        <f t="shared" ref="D74:P74" si="33">IFERROR(IF(D$8&lt;($C74+6),_xlfn.XLOOKUP($C74,$5:$5,$15:$15)*D45,C74),"")</f>
        <v/>
      </c>
      <c r="E74" s="62" t="str">
        <f t="shared" si="33"/>
        <v/>
      </c>
      <c r="F74" s="62" t="str">
        <f t="shared" si="33"/>
        <v/>
      </c>
      <c r="G74" s="62" t="str">
        <f t="shared" si="33"/>
        <v/>
      </c>
      <c r="H74" s="62" t="str">
        <f t="shared" si="33"/>
        <v/>
      </c>
      <c r="I74" s="62" t="str">
        <f t="shared" si="33"/>
        <v/>
      </c>
      <c r="J74" s="62" t="str">
        <f t="shared" si="33"/>
        <v/>
      </c>
      <c r="K74" s="62" t="str">
        <f t="shared" si="33"/>
        <v/>
      </c>
      <c r="L74" s="62" t="str">
        <f t="shared" si="33"/>
        <v/>
      </c>
      <c r="M74" s="62" t="str">
        <f t="shared" si="33"/>
        <v/>
      </c>
      <c r="N74" s="62" t="str">
        <f t="shared" si="33"/>
        <v/>
      </c>
      <c r="O74" s="62" t="str">
        <f t="shared" si="33"/>
        <v/>
      </c>
      <c r="P74" s="62" t="str">
        <f t="shared" si="33"/>
        <v/>
      </c>
    </row>
    <row r="75" spans="3:16" hidden="1" outlineLevel="2" x14ac:dyDescent="0.35">
      <c r="N75" s="47"/>
      <c r="O75" s="47"/>
      <c r="P75" s="47"/>
    </row>
    <row r="76" spans="3:16" hidden="1" outlineLevel="2" x14ac:dyDescent="0.35">
      <c r="N76" s="47"/>
      <c r="O76" s="47"/>
      <c r="P76" s="47"/>
    </row>
    <row r="77" spans="3:16" hidden="1" outlineLevel="2" x14ac:dyDescent="0.35">
      <c r="H77" s="63" t="str">
        <f>IF(AND(H$8&gt;($C79),H$8&lt;($C79+6)), H49-G51,"")</f>
        <v/>
      </c>
      <c r="I77" s="63" t="str">
        <f t="shared" ref="I77:M78" si="34">IF(AND(I$8&gt;($C79),I$8&lt;($C79+6)), I49-H49,"")</f>
        <v/>
      </c>
      <c r="J77" s="63" t="str">
        <f t="shared" si="34"/>
        <v/>
      </c>
      <c r="K77" s="63" t="str">
        <f t="shared" si="34"/>
        <v/>
      </c>
      <c r="L77" s="63" t="str">
        <f t="shared" si="34"/>
        <v/>
      </c>
      <c r="M77" s="63" t="str">
        <f t="shared" si="34"/>
        <v/>
      </c>
      <c r="N77" s="47"/>
      <c r="O77" s="47"/>
      <c r="P77" s="47"/>
    </row>
    <row r="78" spans="3:16" ht="15.5" hidden="1" outlineLevel="2" x14ac:dyDescent="0.35">
      <c r="C78" s="60" t="s">
        <v>82</v>
      </c>
      <c r="H78" s="63" t="str">
        <f>IF(AND(H$8&gt;($C80),H$8&lt;($C80+6)), H50-G52,"")</f>
        <v/>
      </c>
      <c r="I78" s="63" t="str">
        <f t="shared" si="34"/>
        <v/>
      </c>
      <c r="J78" s="63" t="str">
        <f t="shared" si="34"/>
        <v/>
      </c>
      <c r="K78" s="63" t="str">
        <f t="shared" si="34"/>
        <v/>
      </c>
      <c r="L78" s="63" t="str">
        <f t="shared" si="34"/>
        <v/>
      </c>
      <c r="M78" s="63" t="str">
        <f t="shared" si="34"/>
        <v/>
      </c>
      <c r="N78" s="47"/>
      <c r="O78" s="47"/>
      <c r="P78" s="47"/>
    </row>
    <row r="79" spans="3:16" hidden="1" outlineLevel="2" x14ac:dyDescent="0.35">
      <c r="C79" s="57">
        <v>1</v>
      </c>
      <c r="D79" s="63" t="str">
        <f t="shared" ref="D79:P79" si="35">IF(AND(D$5&gt;($C79),D$5&lt;($C79+6)), D51-C51,"")</f>
        <v/>
      </c>
      <c r="E79" s="63">
        <f t="shared" si="35"/>
        <v>-403.00000000000011</v>
      </c>
      <c r="F79" s="63">
        <f t="shared" si="35"/>
        <v>0</v>
      </c>
      <c r="G79" s="63">
        <f t="shared" si="35"/>
        <v>-26</v>
      </c>
      <c r="H79" s="63">
        <f t="shared" si="35"/>
        <v>-156</v>
      </c>
      <c r="I79" s="63">
        <f t="shared" si="35"/>
        <v>0</v>
      </c>
      <c r="J79" s="63" t="str">
        <f t="shared" si="35"/>
        <v/>
      </c>
      <c r="K79" s="63" t="str">
        <f t="shared" si="35"/>
        <v/>
      </c>
      <c r="L79" s="63" t="str">
        <f t="shared" si="35"/>
        <v/>
      </c>
      <c r="M79" s="63" t="str">
        <f t="shared" si="35"/>
        <v/>
      </c>
      <c r="N79" s="63" t="str">
        <f t="shared" si="35"/>
        <v/>
      </c>
      <c r="O79" s="63" t="str">
        <f t="shared" si="35"/>
        <v/>
      </c>
      <c r="P79" s="63" t="str">
        <f t="shared" si="35"/>
        <v/>
      </c>
    </row>
    <row r="80" spans="3:16" hidden="1" outlineLevel="2" x14ac:dyDescent="0.35">
      <c r="C80" s="57">
        <f t="shared" ref="C80:C102" si="36">C79+1</f>
        <v>2</v>
      </c>
      <c r="D80" s="63" t="str">
        <f t="shared" ref="D80:P80" si="37">IF(AND(D$5&gt;($C80),D$5&lt;($C80+6)), D52-C52,"")</f>
        <v/>
      </c>
      <c r="E80" s="63" t="str">
        <f t="shared" si="37"/>
        <v/>
      </c>
      <c r="F80" s="63">
        <f t="shared" si="37"/>
        <v>-620</v>
      </c>
      <c r="G80" s="63">
        <f t="shared" si="37"/>
        <v>0</v>
      </c>
      <c r="H80" s="63">
        <f t="shared" si="37"/>
        <v>-40</v>
      </c>
      <c r="I80" s="63">
        <f t="shared" si="37"/>
        <v>-240</v>
      </c>
      <c r="J80" s="63">
        <f t="shared" si="37"/>
        <v>0</v>
      </c>
      <c r="K80" s="63" t="str">
        <f t="shared" si="37"/>
        <v/>
      </c>
      <c r="L80" s="63" t="str">
        <f t="shared" si="37"/>
        <v/>
      </c>
      <c r="M80" s="63" t="str">
        <f t="shared" si="37"/>
        <v/>
      </c>
      <c r="N80" s="63" t="str">
        <f t="shared" si="37"/>
        <v/>
      </c>
      <c r="O80" s="63" t="str">
        <f t="shared" si="37"/>
        <v/>
      </c>
      <c r="P80" s="63" t="str">
        <f t="shared" si="37"/>
        <v/>
      </c>
    </row>
    <row r="81" spans="3:16" hidden="1" outlineLevel="2" x14ac:dyDescent="0.35">
      <c r="C81" s="57">
        <f t="shared" si="36"/>
        <v>3</v>
      </c>
      <c r="D81" s="63" t="str">
        <f t="shared" ref="D81:P81" si="38">IF(AND(D$5&gt;($C81),D$5&lt;($C81+6)), D53-C53,"")</f>
        <v/>
      </c>
      <c r="E81" s="63" t="str">
        <f t="shared" si="38"/>
        <v/>
      </c>
      <c r="F81" s="63" t="str">
        <f t="shared" si="38"/>
        <v/>
      </c>
      <c r="G81" s="63">
        <f t="shared" si="38"/>
        <v>-1023.0000000000002</v>
      </c>
      <c r="H81" s="63">
        <f t="shared" si="38"/>
        <v>0</v>
      </c>
      <c r="I81" s="63">
        <f t="shared" si="38"/>
        <v>-66</v>
      </c>
      <c r="J81" s="63">
        <f t="shared" si="38"/>
        <v>-396</v>
      </c>
      <c r="K81" s="63">
        <f t="shared" si="38"/>
        <v>0</v>
      </c>
      <c r="L81" s="63" t="str">
        <f t="shared" si="38"/>
        <v/>
      </c>
      <c r="M81" s="63" t="str">
        <f t="shared" si="38"/>
        <v/>
      </c>
      <c r="N81" s="63" t="str">
        <f t="shared" si="38"/>
        <v/>
      </c>
      <c r="O81" s="63" t="str">
        <f t="shared" si="38"/>
        <v/>
      </c>
      <c r="P81" s="63" t="str">
        <f t="shared" si="38"/>
        <v/>
      </c>
    </row>
    <row r="82" spans="3:16" hidden="1" outlineLevel="2" x14ac:dyDescent="0.35">
      <c r="C82" s="57">
        <f t="shared" si="36"/>
        <v>4</v>
      </c>
      <c r="D82" s="63" t="str">
        <f t="shared" ref="D82:P82" si="39">IF(AND(D$5&gt;($C82),D$5&lt;($C82+6)), D54-C54,"")</f>
        <v/>
      </c>
      <c r="E82" s="63" t="str">
        <f t="shared" si="39"/>
        <v/>
      </c>
      <c r="F82" s="63" t="str">
        <f t="shared" si="39"/>
        <v/>
      </c>
      <c r="G82" s="63" t="str">
        <f t="shared" si="39"/>
        <v/>
      </c>
      <c r="H82" s="63">
        <f t="shared" si="39"/>
        <v>-1074.1500000000001</v>
      </c>
      <c r="I82" s="63">
        <f t="shared" si="39"/>
        <v>0</v>
      </c>
      <c r="J82" s="63">
        <f t="shared" si="39"/>
        <v>-69.299999999999955</v>
      </c>
      <c r="K82" s="63">
        <f t="shared" si="39"/>
        <v>-415.80000000000007</v>
      </c>
      <c r="L82" s="63">
        <f t="shared" si="39"/>
        <v>0</v>
      </c>
      <c r="M82" s="63" t="str">
        <f t="shared" si="39"/>
        <v/>
      </c>
      <c r="N82" s="63" t="str">
        <f t="shared" si="39"/>
        <v/>
      </c>
      <c r="O82" s="63" t="str">
        <f t="shared" si="39"/>
        <v/>
      </c>
      <c r="P82" s="63" t="str">
        <f t="shared" si="39"/>
        <v/>
      </c>
    </row>
    <row r="83" spans="3:16" hidden="1" outlineLevel="2" x14ac:dyDescent="0.35">
      <c r="C83" s="57">
        <f t="shared" si="36"/>
        <v>5</v>
      </c>
      <c r="D83" s="63" t="str">
        <f t="shared" ref="D83:P83" si="40">IF(AND(D$5&gt;($C83),D$5&lt;($C83+6)), D55-C55,"")</f>
        <v/>
      </c>
      <c r="E83" s="63" t="str">
        <f t="shared" si="40"/>
        <v/>
      </c>
      <c r="F83" s="63" t="str">
        <f t="shared" si="40"/>
        <v/>
      </c>
      <c r="G83" s="63" t="str">
        <f t="shared" si="40"/>
        <v/>
      </c>
      <c r="H83" s="63" t="str">
        <f t="shared" si="40"/>
        <v/>
      </c>
      <c r="I83" s="63">
        <f t="shared" si="40"/>
        <v>-1127.8575000000003</v>
      </c>
      <c r="J83" s="63">
        <f t="shared" si="40"/>
        <v>0</v>
      </c>
      <c r="K83" s="63">
        <f t="shared" si="40"/>
        <v>-72.764999999999986</v>
      </c>
      <c r="L83" s="63">
        <f t="shared" si="40"/>
        <v>-436.59000000000003</v>
      </c>
      <c r="M83" s="63">
        <f t="shared" si="40"/>
        <v>0</v>
      </c>
      <c r="N83" s="63" t="str">
        <f t="shared" si="40"/>
        <v/>
      </c>
      <c r="O83" s="63" t="str">
        <f t="shared" si="40"/>
        <v/>
      </c>
      <c r="P83" s="63" t="str">
        <f t="shared" si="40"/>
        <v/>
      </c>
    </row>
    <row r="84" spans="3:16" hidden="1" outlineLevel="2" x14ac:dyDescent="0.35">
      <c r="C84" s="57">
        <f t="shared" si="36"/>
        <v>6</v>
      </c>
      <c r="D84" s="63" t="str">
        <f t="shared" ref="D84:P84" si="41">IF(AND(D$5&gt;($C84),D$5&lt;($C84+6)), D56-C56,"")</f>
        <v/>
      </c>
      <c r="E84" s="63" t="str">
        <f t="shared" si="41"/>
        <v/>
      </c>
      <c r="F84" s="63" t="str">
        <f t="shared" si="41"/>
        <v/>
      </c>
      <c r="G84" s="63" t="str">
        <f t="shared" si="41"/>
        <v/>
      </c>
      <c r="H84" s="63" t="str">
        <f t="shared" si="41"/>
        <v/>
      </c>
      <c r="I84" s="63" t="str">
        <f t="shared" si="41"/>
        <v/>
      </c>
      <c r="J84" s="63">
        <f t="shared" si="41"/>
        <v>-1184.2503750000001</v>
      </c>
      <c r="K84" s="63">
        <f t="shared" si="41"/>
        <v>0</v>
      </c>
      <c r="L84" s="63">
        <f t="shared" si="41"/>
        <v>-76.403249999999957</v>
      </c>
      <c r="M84" s="63">
        <f t="shared" si="41"/>
        <v>-458.41950000000003</v>
      </c>
      <c r="N84" s="63">
        <f t="shared" si="41"/>
        <v>0</v>
      </c>
      <c r="O84" s="63" t="str">
        <f t="shared" si="41"/>
        <v/>
      </c>
      <c r="P84" s="63" t="str">
        <f t="shared" si="41"/>
        <v/>
      </c>
    </row>
    <row r="85" spans="3:16" hidden="1" outlineLevel="2" x14ac:dyDescent="0.35">
      <c r="C85" s="57">
        <f t="shared" si="36"/>
        <v>7</v>
      </c>
      <c r="D85" s="63" t="str">
        <f t="shared" ref="D85:P85" si="42">IF(AND(D$5&gt;($C85),D$5&lt;($C85+6)), D57-C57,"")</f>
        <v/>
      </c>
      <c r="E85" s="63" t="str">
        <f t="shared" si="42"/>
        <v/>
      </c>
      <c r="F85" s="63" t="str">
        <f t="shared" si="42"/>
        <v/>
      </c>
      <c r="G85" s="63" t="str">
        <f t="shared" si="42"/>
        <v/>
      </c>
      <c r="H85" s="63" t="str">
        <f t="shared" si="42"/>
        <v/>
      </c>
      <c r="I85" s="63" t="str">
        <f t="shared" si="42"/>
        <v/>
      </c>
      <c r="J85" s="63" t="str">
        <f t="shared" si="42"/>
        <v/>
      </c>
      <c r="K85" s="63">
        <f t="shared" si="42"/>
        <v>-1243.4628937500001</v>
      </c>
      <c r="L85" s="63">
        <f t="shared" si="42"/>
        <v>0</v>
      </c>
      <c r="M85" s="63">
        <f t="shared" si="42"/>
        <v>-80.223412499999995</v>
      </c>
      <c r="N85" s="63">
        <f t="shared" si="42"/>
        <v>-481.34047500000003</v>
      </c>
      <c r="O85" s="63">
        <f t="shared" si="42"/>
        <v>0</v>
      </c>
      <c r="P85" s="63" t="str">
        <f t="shared" si="42"/>
        <v/>
      </c>
    </row>
    <row r="86" spans="3:16" hidden="1" outlineLevel="2" x14ac:dyDescent="0.35">
      <c r="C86" s="57">
        <f t="shared" si="36"/>
        <v>8</v>
      </c>
      <c r="D86" s="63" t="str">
        <f t="shared" ref="D86:P86" si="43">IF(AND(D$5&gt;($C86),D$5&lt;($C86+6)), D58-C58,"")</f>
        <v/>
      </c>
      <c r="E86" s="63" t="str">
        <f t="shared" si="43"/>
        <v/>
      </c>
      <c r="F86" s="63" t="str">
        <f t="shared" si="43"/>
        <v/>
      </c>
      <c r="G86" s="63" t="str">
        <f t="shared" si="43"/>
        <v/>
      </c>
      <c r="H86" s="63" t="str">
        <f t="shared" si="43"/>
        <v/>
      </c>
      <c r="I86" s="63" t="str">
        <f t="shared" si="43"/>
        <v/>
      </c>
      <c r="J86" s="63" t="str">
        <f t="shared" si="43"/>
        <v/>
      </c>
      <c r="K86" s="63" t="str">
        <f t="shared" si="43"/>
        <v/>
      </c>
      <c r="L86" s="63">
        <f t="shared" si="43"/>
        <v>-1305.6360384375005</v>
      </c>
      <c r="M86" s="63">
        <f t="shared" si="43"/>
        <v>0</v>
      </c>
      <c r="N86" s="63">
        <f t="shared" si="43"/>
        <v>-84.234583124999972</v>
      </c>
      <c r="O86" s="63">
        <f t="shared" si="43"/>
        <v>-505.40749875000006</v>
      </c>
      <c r="P86" s="63" t="str">
        <f t="shared" si="43"/>
        <v/>
      </c>
    </row>
    <row r="87" spans="3:16" hidden="1" outlineLevel="2" x14ac:dyDescent="0.35">
      <c r="C87" s="57">
        <f t="shared" si="36"/>
        <v>9</v>
      </c>
      <c r="D87" s="63" t="str">
        <f t="shared" ref="D87:P87" si="44">IF(AND(D$5&gt;($C87),D$5&lt;($C87+6)), D59-C59,"")</f>
        <v/>
      </c>
      <c r="E87" s="63" t="str">
        <f t="shared" si="44"/>
        <v/>
      </c>
      <c r="F87" s="63" t="str">
        <f t="shared" si="44"/>
        <v/>
      </c>
      <c r="G87" s="63" t="str">
        <f t="shared" si="44"/>
        <v/>
      </c>
      <c r="H87" s="63" t="str">
        <f t="shared" si="44"/>
        <v/>
      </c>
      <c r="I87" s="63" t="str">
        <f t="shared" si="44"/>
        <v/>
      </c>
      <c r="J87" s="63" t="str">
        <f t="shared" si="44"/>
        <v/>
      </c>
      <c r="K87" s="63" t="str">
        <f t="shared" si="44"/>
        <v/>
      </c>
      <c r="L87" s="63" t="str">
        <f t="shared" si="44"/>
        <v/>
      </c>
      <c r="M87" s="63">
        <f t="shared" si="44"/>
        <v>-1370.9178403593753</v>
      </c>
      <c r="N87" s="63">
        <f t="shared" si="44"/>
        <v>0</v>
      </c>
      <c r="O87" s="63">
        <f t="shared" si="44"/>
        <v>-88.446312281250016</v>
      </c>
      <c r="P87" s="63" t="str">
        <f t="shared" si="44"/>
        <v/>
      </c>
    </row>
    <row r="88" spans="3:16" hidden="1" outlineLevel="2" x14ac:dyDescent="0.35">
      <c r="C88" s="57">
        <f t="shared" si="36"/>
        <v>10</v>
      </c>
      <c r="D88" s="63" t="str">
        <f t="shared" ref="D88:P88" si="45">IF(AND(D$5&gt;($C88),D$5&lt;($C88+6)), D60-C60,"")</f>
        <v/>
      </c>
      <c r="E88" s="63" t="str">
        <f t="shared" si="45"/>
        <v/>
      </c>
      <c r="F88" s="63" t="str">
        <f t="shared" si="45"/>
        <v/>
      </c>
      <c r="G88" s="63" t="str">
        <f t="shared" si="45"/>
        <v/>
      </c>
      <c r="H88" s="63" t="str">
        <f t="shared" si="45"/>
        <v/>
      </c>
      <c r="I88" s="63" t="str">
        <f t="shared" si="45"/>
        <v/>
      </c>
      <c r="J88" s="63" t="str">
        <f t="shared" si="45"/>
        <v/>
      </c>
      <c r="K88" s="63" t="str">
        <f t="shared" si="45"/>
        <v/>
      </c>
      <c r="L88" s="63" t="str">
        <f t="shared" si="45"/>
        <v/>
      </c>
      <c r="M88" s="63" t="str">
        <f t="shared" si="45"/>
        <v/>
      </c>
      <c r="N88" s="63">
        <f t="shared" si="45"/>
        <v>-1439.4637323773445</v>
      </c>
      <c r="O88" s="63">
        <f t="shared" si="45"/>
        <v>0</v>
      </c>
      <c r="P88" s="63" t="str">
        <f t="shared" si="45"/>
        <v/>
      </c>
    </row>
    <row r="89" spans="3:16" hidden="1" outlineLevel="2" x14ac:dyDescent="0.35">
      <c r="C89" s="57">
        <f t="shared" si="36"/>
        <v>11</v>
      </c>
      <c r="D89" s="63" t="str">
        <f t="shared" ref="D89:P89" si="46">IF(AND(D$5&gt;($C89),D$5&lt;($C89+6)), D61-C61,"")</f>
        <v/>
      </c>
      <c r="E89" s="63" t="str">
        <f t="shared" si="46"/>
        <v/>
      </c>
      <c r="F89" s="63" t="str">
        <f t="shared" si="46"/>
        <v/>
      </c>
      <c r="G89" s="63" t="str">
        <f t="shared" si="46"/>
        <v/>
      </c>
      <c r="H89" s="63" t="str">
        <f t="shared" si="46"/>
        <v/>
      </c>
      <c r="I89" s="63" t="str">
        <f t="shared" si="46"/>
        <v/>
      </c>
      <c r="J89" s="63" t="str">
        <f t="shared" si="46"/>
        <v/>
      </c>
      <c r="K89" s="63" t="str">
        <f t="shared" si="46"/>
        <v/>
      </c>
      <c r="L89" s="63" t="str">
        <f t="shared" si="46"/>
        <v/>
      </c>
      <c r="M89" s="63" t="str">
        <f t="shared" si="46"/>
        <v/>
      </c>
      <c r="N89" s="63" t="str">
        <f t="shared" si="46"/>
        <v/>
      </c>
      <c r="O89" s="63">
        <f t="shared" si="46"/>
        <v>-1511.4369189962119</v>
      </c>
      <c r="P89" s="63" t="str">
        <f t="shared" si="46"/>
        <v/>
      </c>
    </row>
    <row r="90" spans="3:16" hidden="1" outlineLevel="2" x14ac:dyDescent="0.35">
      <c r="C90" s="57">
        <f t="shared" si="36"/>
        <v>12</v>
      </c>
      <c r="D90" s="63" t="str">
        <f t="shared" ref="D90:P90" si="47">IF(AND(D$5&gt;($C90),D$5&lt;($C90+6)), D62-C62,"")</f>
        <v/>
      </c>
      <c r="E90" s="63" t="str">
        <f t="shared" si="47"/>
        <v/>
      </c>
      <c r="F90" s="63" t="str">
        <f t="shared" si="47"/>
        <v/>
      </c>
      <c r="G90" s="63" t="str">
        <f t="shared" si="47"/>
        <v/>
      </c>
      <c r="H90" s="63" t="str">
        <f t="shared" si="47"/>
        <v/>
      </c>
      <c r="I90" s="63" t="str">
        <f t="shared" si="47"/>
        <v/>
      </c>
      <c r="J90" s="63" t="str">
        <f t="shared" si="47"/>
        <v/>
      </c>
      <c r="K90" s="63" t="str">
        <f t="shared" si="47"/>
        <v/>
      </c>
      <c r="L90" s="63" t="str">
        <f t="shared" si="47"/>
        <v/>
      </c>
      <c r="M90" s="63" t="str">
        <f t="shared" si="47"/>
        <v/>
      </c>
      <c r="N90" s="63" t="str">
        <f t="shared" si="47"/>
        <v/>
      </c>
      <c r="O90" s="63" t="str">
        <f t="shared" si="47"/>
        <v/>
      </c>
      <c r="P90" s="63" t="str">
        <f t="shared" si="47"/>
        <v/>
      </c>
    </row>
    <row r="91" spans="3:16" hidden="1" outlineLevel="2" x14ac:dyDescent="0.35">
      <c r="C91" s="57">
        <f t="shared" si="36"/>
        <v>13</v>
      </c>
      <c r="D91" s="63" t="str">
        <f t="shared" ref="D91:P91" si="48">IF(AND(D$5&gt;($C91),D$5&lt;($C91+6)), D63-C63,"")</f>
        <v/>
      </c>
      <c r="E91" s="63" t="str">
        <f t="shared" si="48"/>
        <v/>
      </c>
      <c r="F91" s="63" t="str">
        <f t="shared" si="48"/>
        <v/>
      </c>
      <c r="G91" s="63" t="str">
        <f t="shared" si="48"/>
        <v/>
      </c>
      <c r="H91" s="63" t="str">
        <f t="shared" si="48"/>
        <v/>
      </c>
      <c r="I91" s="63" t="str">
        <f t="shared" si="48"/>
        <v/>
      </c>
      <c r="J91" s="63" t="str">
        <f t="shared" si="48"/>
        <v/>
      </c>
      <c r="K91" s="63" t="str">
        <f t="shared" si="48"/>
        <v/>
      </c>
      <c r="L91" s="63" t="str">
        <f t="shared" si="48"/>
        <v/>
      </c>
      <c r="M91" s="63" t="str">
        <f t="shared" si="48"/>
        <v/>
      </c>
      <c r="N91" s="63" t="str">
        <f t="shared" si="48"/>
        <v/>
      </c>
      <c r="O91" s="63" t="str">
        <f t="shared" si="48"/>
        <v/>
      </c>
      <c r="P91" s="63" t="str">
        <f t="shared" si="48"/>
        <v/>
      </c>
    </row>
    <row r="92" spans="3:16" hidden="1" outlineLevel="2" x14ac:dyDescent="0.35">
      <c r="C92" s="57">
        <f t="shared" si="36"/>
        <v>14</v>
      </c>
      <c r="D92" s="63" t="str">
        <f t="shared" ref="D92:P92" si="49">IF(AND(D$5&gt;($C92),D$5&lt;($C92+6)), D64-C64,"")</f>
        <v/>
      </c>
      <c r="E92" s="63" t="str">
        <f t="shared" si="49"/>
        <v/>
      </c>
      <c r="F92" s="63" t="str">
        <f t="shared" si="49"/>
        <v/>
      </c>
      <c r="G92" s="63" t="str">
        <f t="shared" si="49"/>
        <v/>
      </c>
      <c r="H92" s="63" t="str">
        <f t="shared" si="49"/>
        <v/>
      </c>
      <c r="I92" s="63" t="str">
        <f t="shared" si="49"/>
        <v/>
      </c>
      <c r="J92" s="63" t="str">
        <f t="shared" si="49"/>
        <v/>
      </c>
      <c r="K92" s="63" t="str">
        <f t="shared" si="49"/>
        <v/>
      </c>
      <c r="L92" s="63" t="str">
        <f t="shared" si="49"/>
        <v/>
      </c>
      <c r="M92" s="63" t="str">
        <f t="shared" si="49"/>
        <v/>
      </c>
      <c r="N92" s="63" t="str">
        <f t="shared" si="49"/>
        <v/>
      </c>
      <c r="O92" s="63" t="str">
        <f t="shared" si="49"/>
        <v/>
      </c>
      <c r="P92" s="63" t="str">
        <f t="shared" si="49"/>
        <v/>
      </c>
    </row>
    <row r="93" spans="3:16" hidden="1" outlineLevel="2" x14ac:dyDescent="0.35">
      <c r="C93" s="57">
        <f t="shared" si="36"/>
        <v>15</v>
      </c>
      <c r="D93" s="63" t="str">
        <f t="shared" ref="D93:P93" si="50">IF(AND(D$5&gt;($C93),D$5&lt;($C93+6)), D65-C65,"")</f>
        <v/>
      </c>
      <c r="E93" s="63" t="str">
        <f t="shared" si="50"/>
        <v/>
      </c>
      <c r="F93" s="63" t="str">
        <f t="shared" si="50"/>
        <v/>
      </c>
      <c r="G93" s="63" t="str">
        <f t="shared" si="50"/>
        <v/>
      </c>
      <c r="H93" s="63" t="str">
        <f t="shared" si="50"/>
        <v/>
      </c>
      <c r="I93" s="63" t="str">
        <f t="shared" si="50"/>
        <v/>
      </c>
      <c r="J93" s="63" t="str">
        <f t="shared" si="50"/>
        <v/>
      </c>
      <c r="K93" s="63" t="str">
        <f t="shared" si="50"/>
        <v/>
      </c>
      <c r="L93" s="63" t="str">
        <f t="shared" si="50"/>
        <v/>
      </c>
      <c r="M93" s="63" t="str">
        <f t="shared" si="50"/>
        <v/>
      </c>
      <c r="N93" s="63" t="str">
        <f t="shared" si="50"/>
        <v/>
      </c>
      <c r="O93" s="63" t="str">
        <f t="shared" si="50"/>
        <v/>
      </c>
      <c r="P93" s="63" t="str">
        <f t="shared" si="50"/>
        <v/>
      </c>
    </row>
    <row r="94" spans="3:16" hidden="1" outlineLevel="2" x14ac:dyDescent="0.35">
      <c r="C94" s="57">
        <f t="shared" si="36"/>
        <v>16</v>
      </c>
      <c r="D94" s="63" t="str">
        <f t="shared" ref="D94:P94" si="51">IF(AND(D$5&gt;($C94),D$5&lt;($C94+6)), D66-C66,"")</f>
        <v/>
      </c>
      <c r="E94" s="63" t="str">
        <f t="shared" si="51"/>
        <v/>
      </c>
      <c r="F94" s="63" t="str">
        <f t="shared" si="51"/>
        <v/>
      </c>
      <c r="G94" s="63" t="str">
        <f t="shared" si="51"/>
        <v/>
      </c>
      <c r="H94" s="63" t="str">
        <f t="shared" si="51"/>
        <v/>
      </c>
      <c r="I94" s="63" t="str">
        <f t="shared" si="51"/>
        <v/>
      </c>
      <c r="J94" s="63" t="str">
        <f t="shared" si="51"/>
        <v/>
      </c>
      <c r="K94" s="63" t="str">
        <f t="shared" si="51"/>
        <v/>
      </c>
      <c r="L94" s="63" t="str">
        <f t="shared" si="51"/>
        <v/>
      </c>
      <c r="M94" s="63" t="str">
        <f t="shared" si="51"/>
        <v/>
      </c>
      <c r="N94" s="63" t="str">
        <f t="shared" si="51"/>
        <v/>
      </c>
      <c r="O94" s="63" t="str">
        <f t="shared" si="51"/>
        <v/>
      </c>
      <c r="P94" s="63" t="str">
        <f t="shared" si="51"/>
        <v/>
      </c>
    </row>
    <row r="95" spans="3:16" hidden="1" outlineLevel="2" x14ac:dyDescent="0.35">
      <c r="C95" s="57">
        <f t="shared" si="36"/>
        <v>17</v>
      </c>
      <c r="D95" s="63" t="str">
        <f t="shared" ref="D95:P95" si="52">IF(AND(D$5&gt;($C95),D$5&lt;($C95+6)), D67-C67,"")</f>
        <v/>
      </c>
      <c r="E95" s="63" t="str">
        <f t="shared" si="52"/>
        <v/>
      </c>
      <c r="F95" s="63" t="str">
        <f t="shared" si="52"/>
        <v/>
      </c>
      <c r="G95" s="63" t="str">
        <f t="shared" si="52"/>
        <v/>
      </c>
      <c r="H95" s="63" t="str">
        <f t="shared" si="52"/>
        <v/>
      </c>
      <c r="I95" s="63" t="str">
        <f t="shared" si="52"/>
        <v/>
      </c>
      <c r="J95" s="63" t="str">
        <f t="shared" si="52"/>
        <v/>
      </c>
      <c r="K95" s="63" t="str">
        <f t="shared" si="52"/>
        <v/>
      </c>
      <c r="L95" s="63" t="str">
        <f t="shared" si="52"/>
        <v/>
      </c>
      <c r="M95" s="63" t="str">
        <f t="shared" si="52"/>
        <v/>
      </c>
      <c r="N95" s="63" t="str">
        <f t="shared" si="52"/>
        <v/>
      </c>
      <c r="O95" s="63" t="str">
        <f t="shared" si="52"/>
        <v/>
      </c>
      <c r="P95" s="63" t="str">
        <f t="shared" si="52"/>
        <v/>
      </c>
    </row>
    <row r="96" spans="3:16" hidden="1" outlineLevel="2" x14ac:dyDescent="0.35">
      <c r="C96" s="57">
        <f t="shared" si="36"/>
        <v>18</v>
      </c>
      <c r="D96" s="63" t="str">
        <f t="shared" ref="D96:P96" si="53">IF(AND(D$5&gt;($C96),D$5&lt;($C96+6)), D68-C68,"")</f>
        <v/>
      </c>
      <c r="E96" s="63" t="str">
        <f t="shared" si="53"/>
        <v/>
      </c>
      <c r="F96" s="63" t="str">
        <f t="shared" si="53"/>
        <v/>
      </c>
      <c r="G96" s="63" t="str">
        <f t="shared" si="53"/>
        <v/>
      </c>
      <c r="H96" s="63" t="str">
        <f t="shared" si="53"/>
        <v/>
      </c>
      <c r="I96" s="63" t="str">
        <f t="shared" si="53"/>
        <v/>
      </c>
      <c r="J96" s="63" t="str">
        <f t="shared" si="53"/>
        <v/>
      </c>
      <c r="K96" s="63" t="str">
        <f t="shared" si="53"/>
        <v/>
      </c>
      <c r="L96" s="63" t="str">
        <f t="shared" si="53"/>
        <v/>
      </c>
      <c r="M96" s="63" t="str">
        <f t="shared" si="53"/>
        <v/>
      </c>
      <c r="N96" s="63" t="str">
        <f t="shared" si="53"/>
        <v/>
      </c>
      <c r="O96" s="63" t="str">
        <f t="shared" si="53"/>
        <v/>
      </c>
      <c r="P96" s="63" t="str">
        <f t="shared" si="53"/>
        <v/>
      </c>
    </row>
    <row r="97" spans="2:16" hidden="1" outlineLevel="2" x14ac:dyDescent="0.35">
      <c r="C97" s="57">
        <f t="shared" si="36"/>
        <v>19</v>
      </c>
      <c r="D97" s="63" t="str">
        <f t="shared" ref="D97:P97" si="54">IF(AND(D$5&gt;($C97),D$5&lt;($C97+6)), D69-C69,"")</f>
        <v/>
      </c>
      <c r="E97" s="63" t="str">
        <f t="shared" si="54"/>
        <v/>
      </c>
      <c r="F97" s="63" t="str">
        <f t="shared" si="54"/>
        <v/>
      </c>
      <c r="G97" s="63" t="str">
        <f t="shared" si="54"/>
        <v/>
      </c>
      <c r="H97" s="63" t="str">
        <f t="shared" si="54"/>
        <v/>
      </c>
      <c r="I97" s="63" t="str">
        <f t="shared" si="54"/>
        <v/>
      </c>
      <c r="J97" s="63" t="str">
        <f t="shared" si="54"/>
        <v/>
      </c>
      <c r="K97" s="63" t="str">
        <f t="shared" si="54"/>
        <v/>
      </c>
      <c r="L97" s="63" t="str">
        <f t="shared" si="54"/>
        <v/>
      </c>
      <c r="M97" s="63" t="str">
        <f t="shared" si="54"/>
        <v/>
      </c>
      <c r="N97" s="63" t="str">
        <f t="shared" si="54"/>
        <v/>
      </c>
      <c r="O97" s="63" t="str">
        <f t="shared" si="54"/>
        <v/>
      </c>
      <c r="P97" s="63" t="str">
        <f t="shared" si="54"/>
        <v/>
      </c>
    </row>
    <row r="98" spans="2:16" hidden="1" outlineLevel="2" x14ac:dyDescent="0.35">
      <c r="C98" s="57">
        <f t="shared" si="36"/>
        <v>20</v>
      </c>
      <c r="D98" s="63" t="str">
        <f t="shared" ref="D98:P98" si="55">IF(AND(D$5&gt;($C98),D$5&lt;($C98+6)), D70-C70,"")</f>
        <v/>
      </c>
      <c r="E98" s="63" t="str">
        <f t="shared" si="55"/>
        <v/>
      </c>
      <c r="F98" s="63" t="str">
        <f t="shared" si="55"/>
        <v/>
      </c>
      <c r="G98" s="63" t="str">
        <f t="shared" si="55"/>
        <v/>
      </c>
      <c r="H98" s="63" t="str">
        <f t="shared" si="55"/>
        <v/>
      </c>
      <c r="I98" s="63" t="str">
        <f t="shared" si="55"/>
        <v/>
      </c>
      <c r="J98" s="63" t="str">
        <f t="shared" si="55"/>
        <v/>
      </c>
      <c r="K98" s="63" t="str">
        <f t="shared" si="55"/>
        <v/>
      </c>
      <c r="L98" s="63" t="str">
        <f t="shared" si="55"/>
        <v/>
      </c>
      <c r="M98" s="63" t="str">
        <f t="shared" si="55"/>
        <v/>
      </c>
      <c r="N98" s="63" t="str">
        <f t="shared" si="55"/>
        <v/>
      </c>
      <c r="O98" s="63" t="str">
        <f t="shared" si="55"/>
        <v/>
      </c>
      <c r="P98" s="63" t="str">
        <f t="shared" si="55"/>
        <v/>
      </c>
    </row>
    <row r="99" spans="2:16" hidden="1" outlineLevel="2" x14ac:dyDescent="0.35">
      <c r="C99" s="57">
        <f t="shared" si="36"/>
        <v>21</v>
      </c>
      <c r="D99" s="63" t="str">
        <f t="shared" ref="D99:P99" si="56">IF(AND(D$5&gt;($C99),D$5&lt;($C99+6)), D71-C71,"")</f>
        <v/>
      </c>
      <c r="E99" s="63" t="str">
        <f t="shared" si="56"/>
        <v/>
      </c>
      <c r="F99" s="63" t="str">
        <f t="shared" si="56"/>
        <v/>
      </c>
      <c r="G99" s="63" t="str">
        <f t="shared" si="56"/>
        <v/>
      </c>
      <c r="H99" s="63" t="str">
        <f t="shared" si="56"/>
        <v/>
      </c>
      <c r="I99" s="63" t="str">
        <f t="shared" si="56"/>
        <v/>
      </c>
      <c r="J99" s="63" t="str">
        <f t="shared" si="56"/>
        <v/>
      </c>
      <c r="K99" s="63" t="str">
        <f t="shared" si="56"/>
        <v/>
      </c>
      <c r="L99" s="63" t="str">
        <f t="shared" si="56"/>
        <v/>
      </c>
      <c r="M99" s="63" t="str">
        <f t="shared" si="56"/>
        <v/>
      </c>
      <c r="N99" s="63" t="str">
        <f t="shared" si="56"/>
        <v/>
      </c>
      <c r="O99" s="63" t="str">
        <f t="shared" si="56"/>
        <v/>
      </c>
      <c r="P99" s="63" t="str">
        <f t="shared" si="56"/>
        <v/>
      </c>
    </row>
    <row r="100" spans="2:16" hidden="1" outlineLevel="2" x14ac:dyDescent="0.35">
      <c r="C100" s="57">
        <f t="shared" si="36"/>
        <v>22</v>
      </c>
      <c r="D100" s="63" t="str">
        <f t="shared" ref="D100:P100" si="57">IF(AND(D$5&gt;($C100),D$5&lt;($C100+6)), D72-C72,"")</f>
        <v/>
      </c>
      <c r="E100" s="63" t="str">
        <f t="shared" si="57"/>
        <v/>
      </c>
      <c r="F100" s="63" t="str">
        <f t="shared" si="57"/>
        <v/>
      </c>
      <c r="G100" s="63" t="str">
        <f t="shared" si="57"/>
        <v/>
      </c>
      <c r="H100" s="63" t="str">
        <f t="shared" si="57"/>
        <v/>
      </c>
      <c r="I100" s="63" t="str">
        <f t="shared" si="57"/>
        <v/>
      </c>
      <c r="J100" s="63" t="str">
        <f t="shared" si="57"/>
        <v/>
      </c>
      <c r="K100" s="63" t="str">
        <f t="shared" si="57"/>
        <v/>
      </c>
      <c r="L100" s="63" t="str">
        <f t="shared" si="57"/>
        <v/>
      </c>
      <c r="M100" s="63" t="str">
        <f t="shared" si="57"/>
        <v/>
      </c>
      <c r="N100" s="63" t="str">
        <f t="shared" si="57"/>
        <v/>
      </c>
      <c r="O100" s="63" t="str">
        <f t="shared" si="57"/>
        <v/>
      </c>
      <c r="P100" s="63" t="str">
        <f t="shared" si="57"/>
        <v/>
      </c>
    </row>
    <row r="101" spans="2:16" hidden="1" outlineLevel="2" x14ac:dyDescent="0.35">
      <c r="C101" s="57">
        <f t="shared" si="36"/>
        <v>23</v>
      </c>
      <c r="D101" s="63" t="str">
        <f t="shared" ref="D101:P101" si="58">IF(AND(D$5&gt;($C101),D$5&lt;($C101+6)), D73-C73,"")</f>
        <v/>
      </c>
      <c r="E101" s="63" t="str">
        <f t="shared" si="58"/>
        <v/>
      </c>
      <c r="F101" s="63" t="str">
        <f t="shared" si="58"/>
        <v/>
      </c>
      <c r="G101" s="63" t="str">
        <f t="shared" si="58"/>
        <v/>
      </c>
      <c r="H101" s="63" t="str">
        <f t="shared" si="58"/>
        <v/>
      </c>
      <c r="I101" s="63" t="str">
        <f t="shared" si="58"/>
        <v/>
      </c>
      <c r="J101" s="63" t="str">
        <f t="shared" si="58"/>
        <v/>
      </c>
      <c r="K101" s="63" t="str">
        <f t="shared" si="58"/>
        <v/>
      </c>
      <c r="L101" s="63" t="str">
        <f t="shared" si="58"/>
        <v/>
      </c>
      <c r="M101" s="63" t="str">
        <f t="shared" si="58"/>
        <v/>
      </c>
      <c r="N101" s="63" t="str">
        <f t="shared" si="58"/>
        <v/>
      </c>
      <c r="O101" s="63" t="str">
        <f t="shared" si="58"/>
        <v/>
      </c>
      <c r="P101" s="63" t="str">
        <f t="shared" si="58"/>
        <v/>
      </c>
    </row>
    <row r="102" spans="2:16" hidden="1" outlineLevel="2" x14ac:dyDescent="0.35">
      <c r="C102" s="57">
        <f t="shared" si="36"/>
        <v>24</v>
      </c>
      <c r="D102" s="63" t="str">
        <f t="shared" ref="D102:P102" si="59">IF(AND(D$5&gt;($C102),D$5&lt;($C102+6)), D74-C74,"")</f>
        <v/>
      </c>
      <c r="E102" s="63" t="str">
        <f t="shared" si="59"/>
        <v/>
      </c>
      <c r="F102" s="63" t="str">
        <f t="shared" si="59"/>
        <v/>
      </c>
      <c r="G102" s="63" t="str">
        <f t="shared" si="59"/>
        <v/>
      </c>
      <c r="H102" s="63" t="str">
        <f t="shared" si="59"/>
        <v/>
      </c>
      <c r="I102" s="63" t="str">
        <f t="shared" si="59"/>
        <v/>
      </c>
      <c r="J102" s="63" t="str">
        <f t="shared" si="59"/>
        <v/>
      </c>
      <c r="K102" s="63" t="str">
        <f t="shared" si="59"/>
        <v/>
      </c>
      <c r="L102" s="63" t="str">
        <f t="shared" si="59"/>
        <v/>
      </c>
      <c r="M102" s="63" t="str">
        <f t="shared" si="59"/>
        <v/>
      </c>
      <c r="N102" s="63" t="str">
        <f t="shared" si="59"/>
        <v/>
      </c>
      <c r="O102" s="63" t="str">
        <f t="shared" si="59"/>
        <v/>
      </c>
      <c r="P102" s="63" t="str">
        <f t="shared" si="59"/>
        <v/>
      </c>
    </row>
    <row r="103" spans="2:16" hidden="1" outlineLevel="2" x14ac:dyDescent="0.35"/>
    <row r="104" spans="2:16" hidden="1" outlineLevel="2" x14ac:dyDescent="0.35">
      <c r="B104" t="s">
        <v>10</v>
      </c>
      <c r="C104" t="s">
        <v>83</v>
      </c>
      <c r="D104" s="63">
        <f>SUM(D79:D102)</f>
        <v>0</v>
      </c>
      <c r="E104" s="63">
        <f t="shared" ref="E104:G104" si="60">SUM(E79:E102)</f>
        <v>-403.00000000000011</v>
      </c>
      <c r="F104" s="63">
        <f t="shared" si="60"/>
        <v>-620</v>
      </c>
      <c r="G104" s="63">
        <f t="shared" si="60"/>
        <v>-1049.0000000000002</v>
      </c>
      <c r="H104" s="63">
        <f t="shared" ref="H104:M104" si="61">SUM(H77:H100)</f>
        <v>-1270.1500000000001</v>
      </c>
      <c r="I104" s="63">
        <f t="shared" si="61"/>
        <v>-1433.8575000000003</v>
      </c>
      <c r="J104" s="63">
        <f t="shared" si="61"/>
        <v>-1649.550375</v>
      </c>
      <c r="K104" s="63">
        <f t="shared" si="61"/>
        <v>-1732.0278937500002</v>
      </c>
      <c r="L104" s="63">
        <f t="shared" si="61"/>
        <v>-1818.6292884375005</v>
      </c>
      <c r="M104" s="63">
        <f t="shared" si="61"/>
        <v>-1909.5607528593753</v>
      </c>
      <c r="N104" s="63">
        <f t="shared" ref="N104:O104" si="62">SUM(N77:N100)</f>
        <v>-2005.0387905023445</v>
      </c>
      <c r="O104" s="63">
        <f t="shared" si="62"/>
        <v>-2105.2907300274619</v>
      </c>
      <c r="P104" s="47"/>
    </row>
    <row r="105" spans="2:16" hidden="1" outlineLevel="2" x14ac:dyDescent="0.35"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</row>
    <row r="106" spans="2:16" outlineLevel="1" collapsed="1" x14ac:dyDescent="0.35">
      <c r="P106" s="55"/>
    </row>
    <row r="107" spans="2:16" outlineLevel="1" x14ac:dyDescent="0.35">
      <c r="C107" t="s">
        <v>76</v>
      </c>
      <c r="D107" s="55">
        <f t="shared" ref="D107:O107" si="63">D104</f>
        <v>0</v>
      </c>
      <c r="E107" s="55">
        <f t="shared" si="63"/>
        <v>-403.00000000000011</v>
      </c>
      <c r="F107" s="55">
        <f t="shared" si="63"/>
        <v>-620</v>
      </c>
      <c r="G107" s="55">
        <f t="shared" si="63"/>
        <v>-1049.0000000000002</v>
      </c>
      <c r="H107" s="55">
        <f t="shared" si="63"/>
        <v>-1270.1500000000001</v>
      </c>
      <c r="I107" s="55">
        <f t="shared" si="63"/>
        <v>-1433.8575000000003</v>
      </c>
      <c r="J107" s="55">
        <f t="shared" si="63"/>
        <v>-1649.550375</v>
      </c>
      <c r="K107" s="55">
        <f t="shared" si="63"/>
        <v>-1732.0278937500002</v>
      </c>
      <c r="L107" s="55">
        <f t="shared" si="63"/>
        <v>-1818.6292884375005</v>
      </c>
      <c r="M107" s="55">
        <f t="shared" si="63"/>
        <v>-1909.5607528593753</v>
      </c>
      <c r="N107" s="55">
        <f t="shared" si="63"/>
        <v>-2005.0387905023445</v>
      </c>
      <c r="O107" s="55">
        <f t="shared" si="63"/>
        <v>-2105.2907300274619</v>
      </c>
    </row>
    <row r="108" spans="2:16" outlineLevel="1" x14ac:dyDescent="0.35">
      <c r="P108" s="47"/>
    </row>
    <row r="109" spans="2:16" outlineLevel="1" x14ac:dyDescent="0.35">
      <c r="C109" t="s">
        <v>67</v>
      </c>
      <c r="D109" s="47">
        <f>'P&amp;Lv2'!D15</f>
        <v>1300</v>
      </c>
      <c r="E109" s="47">
        <f t="shared" ref="E109:O109" si="64">D109+E15+E107</f>
        <v>2897</v>
      </c>
      <c r="F109" s="47">
        <f t="shared" si="64"/>
        <v>5577</v>
      </c>
      <c r="G109" s="47">
        <f t="shared" si="64"/>
        <v>7993</v>
      </c>
      <c r="H109" s="47">
        <f t="shared" si="64"/>
        <v>10361.1</v>
      </c>
      <c r="I109" s="47">
        <f t="shared" si="64"/>
        <v>12747.405000000001</v>
      </c>
      <c r="J109" s="47">
        <f t="shared" si="64"/>
        <v>15109.025250000001</v>
      </c>
      <c r="K109" s="47">
        <f t="shared" si="64"/>
        <v>17588.726512500001</v>
      </c>
      <c r="L109" s="47">
        <f t="shared" si="64"/>
        <v>20192.412838125001</v>
      </c>
      <c r="M109" s="47">
        <f t="shared" si="64"/>
        <v>22926.283480031252</v>
      </c>
      <c r="N109" s="47">
        <f t="shared" si="64"/>
        <v>25796.847654032816</v>
      </c>
      <c r="O109" s="47">
        <f t="shared" si="64"/>
        <v>28810.940036734457</v>
      </c>
      <c r="P109" s="84"/>
    </row>
    <row r="110" spans="2:16" outlineLevel="1" x14ac:dyDescent="0.35"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47"/>
    </row>
    <row r="111" spans="2:16" x14ac:dyDescent="0.35">
      <c r="C111" t="s">
        <v>84</v>
      </c>
      <c r="D111" s="45">
        <f t="shared" ref="D111:O111" si="65">D107/D109</f>
        <v>0</v>
      </c>
      <c r="E111" s="45">
        <f t="shared" si="65"/>
        <v>-0.13910942354159478</v>
      </c>
      <c r="F111" s="45">
        <f t="shared" si="65"/>
        <v>-0.11117088040164963</v>
      </c>
      <c r="G111" s="45">
        <f t="shared" si="65"/>
        <v>-0.13123983485549859</v>
      </c>
      <c r="H111" s="45">
        <f t="shared" si="65"/>
        <v>-0.12258833521537289</v>
      </c>
      <c r="I111" s="45">
        <f t="shared" si="65"/>
        <v>-0.1124823052221217</v>
      </c>
      <c r="J111" s="45">
        <f t="shared" si="65"/>
        <v>-0.10917649204405161</v>
      </c>
      <c r="K111" s="45">
        <f t="shared" si="65"/>
        <v>-9.8473752066079265E-2</v>
      </c>
      <c r="L111" s="45">
        <f t="shared" si="65"/>
        <v>-9.0064981486698462E-2</v>
      </c>
      <c r="M111" s="45">
        <f t="shared" si="65"/>
        <v>-8.3291334791467567E-2</v>
      </c>
      <c r="N111" s="45">
        <f t="shared" si="65"/>
        <v>-7.7724178449722209E-2</v>
      </c>
      <c r="O111" s="45">
        <f t="shared" si="65"/>
        <v>-7.3072615032455698E-2</v>
      </c>
      <c r="P111" s="64"/>
    </row>
    <row r="112" spans="2:16" x14ac:dyDescent="0.35">
      <c r="C112" t="s">
        <v>296</v>
      </c>
      <c r="D112" s="45">
        <f>D15/D109</f>
        <v>1</v>
      </c>
      <c r="E112" s="45">
        <f t="shared" ref="E112:O112" si="66">E15/E109</f>
        <v>0.69036934760096647</v>
      </c>
      <c r="F112" s="45">
        <f t="shared" si="66"/>
        <v>0.59171597633136097</v>
      </c>
      <c r="G112" s="45">
        <f t="shared" si="66"/>
        <v>0.43350431627674213</v>
      </c>
      <c r="H112" s="45">
        <f t="shared" si="66"/>
        <v>0.35114514868112456</v>
      </c>
      <c r="I112" s="45">
        <f t="shared" si="66"/>
        <v>0.29968158225144642</v>
      </c>
      <c r="J112" s="45">
        <f t="shared" si="66"/>
        <v>0.26548176064501583</v>
      </c>
      <c r="K112" s="45">
        <f t="shared" si="66"/>
        <v>0.23945617400195507</v>
      </c>
      <c r="L112" s="45">
        <f t="shared" si="66"/>
        <v>0.21900877569781016</v>
      </c>
      <c r="M112" s="45">
        <f t="shared" si="66"/>
        <v>0.20253746747963081</v>
      </c>
      <c r="N112" s="45">
        <f t="shared" si="66"/>
        <v>0.18899995185038457</v>
      </c>
      <c r="O112" s="45">
        <f t="shared" si="66"/>
        <v>0.17768886076614646</v>
      </c>
      <c r="P112" s="64"/>
    </row>
    <row r="113" spans="2:16" x14ac:dyDescent="0.35">
      <c r="B113" s="85" t="s">
        <v>68</v>
      </c>
      <c r="C113" s="94" t="s">
        <v>215</v>
      </c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11"/>
    </row>
    <row r="114" spans="2:16" outlineLevel="1" x14ac:dyDescent="0.35">
      <c r="B114" s="85" t="s">
        <v>69</v>
      </c>
      <c r="C114" t="str">
        <f>"Revenue by Subscribers in " &amp;B113</f>
        <v>Revenue by Subscribers in Plan A</v>
      </c>
      <c r="D114" s="51">
        <f>_xlfn.LET(_xlpm.cumilative, D$109,
     _xlpm.price, INDEX(ModelDrivers!$D$8:$D$11, MATCH($B113,ModelDrivers!$C$8:$C$11,0)),
     _xlpm.subplan, INDEX(ModelDrivers!$E$8:$E$11, MATCH($B113,ModelDrivers!$C$8:$C$11,0)),
     _xlpm.return, (_xlpm.cumilative * _xlpm.subplan) * _xlpm.price,
     _xlpm.return
)</f>
        <v>78000</v>
      </c>
      <c r="E114" s="51">
        <f>_xlfn.LET(_xlpm.cumilative, E$109,
     _xlpm.price, INDEX(ModelDrivers!$D$8:$D$11, MATCH($B113,ModelDrivers!$C$8:$C$11,0)),
     _xlpm.subplan, INDEX(ModelDrivers!$E$8:$E$11, MATCH($B113,ModelDrivers!$C$8:$C$11,0)),
     _xlpm.return, (_xlpm.cumilative * _xlpm.subplan) * _xlpm.price,
     _xlpm.return
)</f>
        <v>173820</v>
      </c>
      <c r="F114" s="51">
        <f>_xlfn.LET(_xlpm.cumilative, F$109,
     _xlpm.price, INDEX(ModelDrivers!$D$8:$D$11, MATCH($B113,ModelDrivers!$C$8:$C$11,0)),
     _xlpm.subplan, INDEX(ModelDrivers!$E$8:$E$11, MATCH($B113,ModelDrivers!$C$8:$C$11,0)),
     _xlpm.return, (_xlpm.cumilative * _xlpm.subplan) * _xlpm.price,
     _xlpm.return
)</f>
        <v>334620</v>
      </c>
      <c r="G114" s="51">
        <f>_xlfn.LET(_xlpm.cumilative, G$109,
     _xlpm.price, INDEX(ModelDrivers!$D$8:$D$11, MATCH($B113,ModelDrivers!$C$8:$C$11,0)),
     _xlpm.subplan, INDEX(ModelDrivers!$E$8:$E$11, MATCH($B113,ModelDrivers!$C$8:$C$11,0)),
     _xlpm.return, (_xlpm.cumilative * _xlpm.subplan) * _xlpm.price,
     _xlpm.return
)</f>
        <v>479580</v>
      </c>
      <c r="H114" s="51">
        <f>_xlfn.LET(_xlpm.cumilative, H$109,
     _xlpm.price, INDEX(ModelDrivers!$D$8:$D$11, MATCH($B113,ModelDrivers!$C$8:$C$11,0)),
     _xlpm.subplan, INDEX(ModelDrivers!$E$8:$E$11, MATCH($B113,ModelDrivers!$C$8:$C$11,0)),
     _xlpm.return, (_xlpm.cumilative * _xlpm.subplan) * _xlpm.price,
     _xlpm.return
)</f>
        <v>621666</v>
      </c>
      <c r="I114" s="51">
        <f>_xlfn.LET(_xlpm.cumilative, I$109,
     _xlpm.price, INDEX(ModelDrivers!$D$8:$D$11, MATCH($B113,ModelDrivers!$C$8:$C$11,0)),
     _xlpm.subplan, INDEX(ModelDrivers!$E$8:$E$11, MATCH($B113,ModelDrivers!$C$8:$C$11,0)),
     _xlpm.return, (_xlpm.cumilative * _xlpm.subplan) * _xlpm.price,
     _xlpm.return
)</f>
        <v>764844.3</v>
      </c>
      <c r="J114" s="51">
        <f>_xlfn.LET(_xlpm.cumilative, J$109,
     _xlpm.price, INDEX(ModelDrivers!$D$8:$D$11, MATCH($B113,ModelDrivers!$C$8:$C$11,0)),
     _xlpm.subplan, INDEX(ModelDrivers!$E$8:$E$11, MATCH($B113,ModelDrivers!$C$8:$C$11,0)),
     _xlpm.return, (_xlpm.cumilative * _xlpm.subplan) * _xlpm.price,
     _xlpm.return
)</f>
        <v>906541.51500000013</v>
      </c>
      <c r="K114" s="51">
        <f>_xlfn.LET(_xlpm.cumilative, K$109,
     _xlpm.price, INDEX(ModelDrivers!$D$8:$D$11, MATCH($B113,ModelDrivers!$C$8:$C$11,0)),
     _xlpm.subplan, INDEX(ModelDrivers!$E$8:$E$11, MATCH($B113,ModelDrivers!$C$8:$C$11,0)),
     _xlpm.return, (_xlpm.cumilative * _xlpm.subplan) * _xlpm.price,
     _xlpm.return
)</f>
        <v>1055323.59075</v>
      </c>
      <c r="L114" s="51">
        <f>_xlfn.LET(_xlpm.cumilative, L$109,
     _xlpm.price, INDEX(ModelDrivers!$D$8:$D$11, MATCH($B113,ModelDrivers!$C$8:$C$11,0)),
     _xlpm.subplan, INDEX(ModelDrivers!$E$8:$E$11, MATCH($B113,ModelDrivers!$C$8:$C$11,0)),
     _xlpm.return, (_xlpm.cumilative * _xlpm.subplan) * _xlpm.price,
     _xlpm.return
)</f>
        <v>1211544.7702875</v>
      </c>
      <c r="M114" s="51">
        <f>_xlfn.LET(_xlpm.cumilative, M$109,
     _xlpm.price, INDEX(ModelDrivers!$D$8:$D$11, MATCH($B113,ModelDrivers!$C$8:$C$11,0)),
     _xlpm.subplan, INDEX(ModelDrivers!$E$8:$E$11, MATCH($B113,ModelDrivers!$C$8:$C$11,0)),
     _xlpm.return, (_xlpm.cumilative * _xlpm.subplan) * _xlpm.price,
     _xlpm.return
)</f>
        <v>1375577.0088018752</v>
      </c>
      <c r="N114" s="51">
        <f>_xlfn.LET(_xlpm.cumilative, N$109,
     _xlpm.price, INDEX(ModelDrivers!$D$8:$D$11, MATCH($B113,ModelDrivers!$C$8:$C$11,0)),
     _xlpm.subplan, INDEX(ModelDrivers!$E$8:$E$11, MATCH($B113,ModelDrivers!$C$8:$C$11,0)),
     _xlpm.return, (_xlpm.cumilative * _xlpm.subplan) * _xlpm.price,
     _xlpm.return
)</f>
        <v>1547810.859241969</v>
      </c>
      <c r="O114" s="51">
        <f>_xlfn.LET(_xlpm.cumilative, O$109,
     _xlpm.price, INDEX(ModelDrivers!$D$8:$D$11, MATCH($B113,ModelDrivers!$C$8:$C$11,0)),
     _xlpm.subplan, INDEX(ModelDrivers!$E$8:$E$11, MATCH($B113,ModelDrivers!$C$8:$C$11,0)),
     _xlpm.return, (_xlpm.cumilative * _xlpm.subplan) * _xlpm.price,
     _xlpm.return
)</f>
        <v>1728656.4022040674</v>
      </c>
      <c r="P114" s="11"/>
    </row>
    <row r="115" spans="2:16" outlineLevel="1" x14ac:dyDescent="0.35">
      <c r="B115" s="85" t="s">
        <v>70</v>
      </c>
      <c r="C115" t="str">
        <f>"Revenue by Subscribers in " &amp;B114</f>
        <v>Revenue by Subscribers in Plan B</v>
      </c>
      <c r="D115" s="51">
        <f>_xlfn.LET(_xlpm.cumilative, D$109,
     _xlpm.price, INDEX(ModelDrivers!$D$8:$D$11, MATCH($B114,ModelDrivers!$C$8:$C$11,0)),
     _xlpm.subplan, INDEX(ModelDrivers!$E$8:$E$11, MATCH($B114,ModelDrivers!$C$8:$C$11,0)),
     _xlpm.return, (_xlpm.cumilative * _xlpm.subplan) * _xlpm.price,
     _xlpm.return
)</f>
        <v>46800</v>
      </c>
      <c r="E115" s="51">
        <f>_xlfn.LET(_xlpm.cumilative, E$109,
     _xlpm.price, INDEX(ModelDrivers!$D$8:$D$11, MATCH($B114,ModelDrivers!$C$8:$C$11,0)),
     _xlpm.subplan, INDEX(ModelDrivers!$E$8:$E$11, MATCH($B114,ModelDrivers!$C$8:$C$11,0)),
     _xlpm.return, (_xlpm.cumilative * _xlpm.subplan) * _xlpm.price,
     _xlpm.return
)</f>
        <v>104292</v>
      </c>
      <c r="F115" s="51">
        <f>_xlfn.LET(_xlpm.cumilative, F$109,
     _xlpm.price, INDEX(ModelDrivers!$D$8:$D$11, MATCH($B114,ModelDrivers!$C$8:$C$11,0)),
     _xlpm.subplan, INDEX(ModelDrivers!$E$8:$E$11, MATCH($B114,ModelDrivers!$C$8:$C$11,0)),
     _xlpm.return, (_xlpm.cumilative * _xlpm.subplan) * _xlpm.price,
     _xlpm.return
)</f>
        <v>200772</v>
      </c>
      <c r="G115" s="51">
        <f>_xlfn.LET(_xlpm.cumilative, G$109,
     _xlpm.price, INDEX(ModelDrivers!$D$8:$D$11, MATCH($B114,ModelDrivers!$C$8:$C$11,0)),
     _xlpm.subplan, INDEX(ModelDrivers!$E$8:$E$11, MATCH($B114,ModelDrivers!$C$8:$C$11,0)),
     _xlpm.return, (_xlpm.cumilative * _xlpm.subplan) * _xlpm.price,
     _xlpm.return
)</f>
        <v>287748</v>
      </c>
      <c r="H115" s="51">
        <f>_xlfn.LET(_xlpm.cumilative, H$109,
     _xlpm.price, INDEX(ModelDrivers!$D$8:$D$11, MATCH($B114,ModelDrivers!$C$8:$C$11,0)),
     _xlpm.subplan, INDEX(ModelDrivers!$E$8:$E$11, MATCH($B114,ModelDrivers!$C$8:$C$11,0)),
     _xlpm.return, (_xlpm.cumilative * _xlpm.subplan) * _xlpm.price,
     _xlpm.return
)</f>
        <v>372999.6</v>
      </c>
      <c r="I115" s="51">
        <f>_xlfn.LET(_xlpm.cumilative, I$109,
     _xlpm.price, INDEX(ModelDrivers!$D$8:$D$11, MATCH($B114,ModelDrivers!$C$8:$C$11,0)),
     _xlpm.subplan, INDEX(ModelDrivers!$E$8:$E$11, MATCH($B114,ModelDrivers!$C$8:$C$11,0)),
     _xlpm.return, (_xlpm.cumilative * _xlpm.subplan) * _xlpm.price,
     _xlpm.return
)</f>
        <v>458906.58</v>
      </c>
      <c r="J115" s="51">
        <f>_xlfn.LET(_xlpm.cumilative, J$109,
     _xlpm.price, INDEX(ModelDrivers!$D$8:$D$11, MATCH($B114,ModelDrivers!$C$8:$C$11,0)),
     _xlpm.subplan, INDEX(ModelDrivers!$E$8:$E$11, MATCH($B114,ModelDrivers!$C$8:$C$11,0)),
     _xlpm.return, (_xlpm.cumilative * _xlpm.subplan) * _xlpm.price,
     _xlpm.return
)</f>
        <v>543924.90899999999</v>
      </c>
      <c r="K115" s="51">
        <f>_xlfn.LET(_xlpm.cumilative, K$109,
     _xlpm.price, INDEX(ModelDrivers!$D$8:$D$11, MATCH($B114,ModelDrivers!$C$8:$C$11,0)),
     _xlpm.subplan, INDEX(ModelDrivers!$E$8:$E$11, MATCH($B114,ModelDrivers!$C$8:$C$11,0)),
     _xlpm.return, (_xlpm.cumilative * _xlpm.subplan) * _xlpm.price,
     _xlpm.return
)</f>
        <v>633194.15445000003</v>
      </c>
      <c r="L115" s="51">
        <f>_xlfn.LET(_xlpm.cumilative, L$109,
     _xlpm.price, INDEX(ModelDrivers!$D$8:$D$11, MATCH($B114,ModelDrivers!$C$8:$C$11,0)),
     _xlpm.subplan, INDEX(ModelDrivers!$E$8:$E$11, MATCH($B114,ModelDrivers!$C$8:$C$11,0)),
     _xlpm.return, (_xlpm.cumilative * _xlpm.subplan) * _xlpm.price,
     _xlpm.return
)</f>
        <v>726926.8621725</v>
      </c>
      <c r="M115" s="51">
        <f>_xlfn.LET(_xlpm.cumilative, M$109,
     _xlpm.price, INDEX(ModelDrivers!$D$8:$D$11, MATCH($B114,ModelDrivers!$C$8:$C$11,0)),
     _xlpm.subplan, INDEX(ModelDrivers!$E$8:$E$11, MATCH($B114,ModelDrivers!$C$8:$C$11,0)),
     _xlpm.return, (_xlpm.cumilative * _xlpm.subplan) * _xlpm.price,
     _xlpm.return
)</f>
        <v>825346.20528112503</v>
      </c>
      <c r="N115" s="51">
        <f>_xlfn.LET(_xlpm.cumilative, N$109,
     _xlpm.price, INDEX(ModelDrivers!$D$8:$D$11, MATCH($B114,ModelDrivers!$C$8:$C$11,0)),
     _xlpm.subplan, INDEX(ModelDrivers!$E$8:$E$11, MATCH($B114,ModelDrivers!$C$8:$C$11,0)),
     _xlpm.return, (_xlpm.cumilative * _xlpm.subplan) * _xlpm.price,
     _xlpm.return
)</f>
        <v>928686.51554518135</v>
      </c>
      <c r="O115" s="51">
        <f>_xlfn.LET(_xlpm.cumilative, O$109,
     _xlpm.price, INDEX(ModelDrivers!$D$8:$D$11, MATCH($B114,ModelDrivers!$C$8:$C$11,0)),
     _xlpm.subplan, INDEX(ModelDrivers!$E$8:$E$11, MATCH($B114,ModelDrivers!$C$8:$C$11,0)),
     _xlpm.return, (_xlpm.cumilative * _xlpm.subplan) * _xlpm.price,
     _xlpm.return
)</f>
        <v>1037193.8413224405</v>
      </c>
      <c r="P115" s="51"/>
    </row>
    <row r="116" spans="2:16" outlineLevel="1" x14ac:dyDescent="0.35">
      <c r="C116" t="str">
        <f>"Revenue by Subscribers in " &amp;B115</f>
        <v>Revenue by Subscribers in Plan C</v>
      </c>
      <c r="D116" s="51">
        <f>_xlfn.LET(_xlpm.cumilative, D$109,
     _xlpm.price, INDEX(ModelDrivers!$D$8:$D$11, MATCH($B115,ModelDrivers!$C$8:$C$11,0)),
     _xlpm.subplan, INDEX(ModelDrivers!$E$8:$E$11, MATCH($B115,ModelDrivers!$C$8:$C$11,0)),
     _xlpm.return, (_xlpm.cumilative * _xlpm.subplan) * _xlpm.price,
     _xlpm.return
)</f>
        <v>18200.000000000015</v>
      </c>
      <c r="E116" s="51">
        <f>_xlfn.LET(_xlpm.cumilative, E$109,
     _xlpm.price, INDEX(ModelDrivers!$D$8:$D$11, MATCH($B115,ModelDrivers!$C$8:$C$11,0)),
     _xlpm.subplan, INDEX(ModelDrivers!$E$8:$E$11, MATCH($B115,ModelDrivers!$C$8:$C$11,0)),
     _xlpm.return, (_xlpm.cumilative * _xlpm.subplan) * _xlpm.price,
     _xlpm.return
)</f>
        <v>40558.000000000036</v>
      </c>
      <c r="F116" s="51">
        <f>_xlfn.LET(_xlpm.cumilative, F$109,
     _xlpm.price, INDEX(ModelDrivers!$D$8:$D$11, MATCH($B115,ModelDrivers!$C$8:$C$11,0)),
     _xlpm.subplan, INDEX(ModelDrivers!$E$8:$E$11, MATCH($B115,ModelDrivers!$C$8:$C$11,0)),
     _xlpm.return, (_xlpm.cumilative * _xlpm.subplan) * _xlpm.price,
     _xlpm.return
)</f>
        <v>78078.000000000073</v>
      </c>
      <c r="G116" s="51">
        <f>_xlfn.LET(_xlpm.cumilative, G$109,
     _xlpm.price, INDEX(ModelDrivers!$D$8:$D$11, MATCH($B115,ModelDrivers!$C$8:$C$11,0)),
     _xlpm.subplan, INDEX(ModelDrivers!$E$8:$E$11, MATCH($B115,ModelDrivers!$C$8:$C$11,0)),
     _xlpm.return, (_xlpm.cumilative * _xlpm.subplan) * _xlpm.price,
     _xlpm.return
)</f>
        <v>111902.0000000001</v>
      </c>
      <c r="H116" s="51">
        <f>_xlfn.LET(_xlpm.cumilative, H$109,
     _xlpm.price, INDEX(ModelDrivers!$D$8:$D$11, MATCH($B115,ModelDrivers!$C$8:$C$11,0)),
     _xlpm.subplan, INDEX(ModelDrivers!$E$8:$E$11, MATCH($B115,ModelDrivers!$C$8:$C$11,0)),
     _xlpm.return, (_xlpm.cumilative * _xlpm.subplan) * _xlpm.price,
     _xlpm.return
)</f>
        <v>145055.40000000014</v>
      </c>
      <c r="I116" s="51">
        <f>_xlfn.LET(_xlpm.cumilative, I$109,
     _xlpm.price, INDEX(ModelDrivers!$D$8:$D$11, MATCH($B115,ModelDrivers!$C$8:$C$11,0)),
     _xlpm.subplan, INDEX(ModelDrivers!$E$8:$E$11, MATCH($B115,ModelDrivers!$C$8:$C$11,0)),
     _xlpm.return, (_xlpm.cumilative * _xlpm.subplan) * _xlpm.price,
     _xlpm.return
)</f>
        <v>178463.67000000019</v>
      </c>
      <c r="J116" s="51">
        <f>_xlfn.LET(_xlpm.cumilative, J$109,
     _xlpm.price, INDEX(ModelDrivers!$D$8:$D$11, MATCH($B115,ModelDrivers!$C$8:$C$11,0)),
     _xlpm.subplan, INDEX(ModelDrivers!$E$8:$E$11, MATCH($B115,ModelDrivers!$C$8:$C$11,0)),
     _xlpm.return, (_xlpm.cumilative * _xlpm.subplan) * _xlpm.price,
     _xlpm.return
)</f>
        <v>211526.3535000002</v>
      </c>
      <c r="K116" s="51">
        <f>_xlfn.LET(_xlpm.cumilative, K$109,
     _xlpm.price, INDEX(ModelDrivers!$D$8:$D$11, MATCH($B115,ModelDrivers!$C$8:$C$11,0)),
     _xlpm.subplan, INDEX(ModelDrivers!$E$8:$E$11, MATCH($B115,ModelDrivers!$C$8:$C$11,0)),
     _xlpm.return, (_xlpm.cumilative * _xlpm.subplan) * _xlpm.price,
     _xlpm.return
)</f>
        <v>246242.17117500023</v>
      </c>
      <c r="L116" s="51">
        <f>_xlfn.LET(_xlpm.cumilative, L$109,
     _xlpm.price, INDEX(ModelDrivers!$D$8:$D$11, MATCH($B115,ModelDrivers!$C$8:$C$11,0)),
     _xlpm.subplan, INDEX(ModelDrivers!$E$8:$E$11, MATCH($B115,ModelDrivers!$C$8:$C$11,0)),
     _xlpm.return, (_xlpm.cumilative * _xlpm.subplan) * _xlpm.price,
     _xlpm.return
)</f>
        <v>282693.77973375027</v>
      </c>
      <c r="M116" s="51">
        <f>_xlfn.LET(_xlpm.cumilative, M$109,
     _xlpm.price, INDEX(ModelDrivers!$D$8:$D$11, MATCH($B115,ModelDrivers!$C$8:$C$11,0)),
     _xlpm.subplan, INDEX(ModelDrivers!$E$8:$E$11, MATCH($B115,ModelDrivers!$C$8:$C$11,0)),
     _xlpm.return, (_xlpm.cumilative * _xlpm.subplan) * _xlpm.price,
     _xlpm.return
)</f>
        <v>320967.96872043778</v>
      </c>
      <c r="N116" s="51">
        <f>_xlfn.LET(_xlpm.cumilative, N$109,
     _xlpm.price, INDEX(ModelDrivers!$D$8:$D$11, MATCH($B115,ModelDrivers!$C$8:$C$11,0)),
     _xlpm.subplan, INDEX(ModelDrivers!$E$8:$E$11, MATCH($B115,ModelDrivers!$C$8:$C$11,0)),
     _xlpm.return, (_xlpm.cumilative * _xlpm.subplan) * _xlpm.price,
     _xlpm.return
)</f>
        <v>361155.86715645978</v>
      </c>
      <c r="O116" s="51">
        <f>_xlfn.LET(_xlpm.cumilative, O$109,
     _xlpm.price, INDEX(ModelDrivers!$D$8:$D$11, MATCH($B115,ModelDrivers!$C$8:$C$11,0)),
     _xlpm.subplan, INDEX(ModelDrivers!$E$8:$E$11, MATCH($B115,ModelDrivers!$C$8:$C$11,0)),
     _xlpm.return, (_xlpm.cumilative * _xlpm.subplan) * _xlpm.price,
     _xlpm.return
)</f>
        <v>403353.16051428276</v>
      </c>
      <c r="P116" s="47"/>
    </row>
    <row r="117" spans="2:16" outlineLevel="1" x14ac:dyDescent="0.35"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53"/>
    </row>
    <row r="118" spans="2:16" x14ac:dyDescent="0.35">
      <c r="C118" s="17" t="s">
        <v>71</v>
      </c>
      <c r="D118" s="53">
        <f>SUM(D114:D116)</f>
        <v>143000</v>
      </c>
      <c r="E118" s="53">
        <f>SUM(E114:E116)</f>
        <v>318670.00000000006</v>
      </c>
      <c r="F118" s="53">
        <f>SUM(F114:F116)</f>
        <v>613470.00000000012</v>
      </c>
      <c r="G118" s="53">
        <f>SUM(G114:G116)</f>
        <v>879230.00000000012</v>
      </c>
      <c r="H118" s="53">
        <f t="shared" ref="H118:O118" si="67">SUM(H114:H116)</f>
        <v>1139721</v>
      </c>
      <c r="I118" s="53">
        <f t="shared" si="67"/>
        <v>1402214.5500000003</v>
      </c>
      <c r="J118" s="53">
        <f t="shared" si="67"/>
        <v>1661992.7775000003</v>
      </c>
      <c r="K118" s="53">
        <f t="shared" si="67"/>
        <v>1934759.9163750003</v>
      </c>
      <c r="L118" s="53">
        <f t="shared" si="67"/>
        <v>2221165.41219375</v>
      </c>
      <c r="M118" s="53">
        <f t="shared" si="67"/>
        <v>2521891.182803438</v>
      </c>
      <c r="N118" s="53">
        <f t="shared" si="67"/>
        <v>2837653.2419436104</v>
      </c>
      <c r="O118" s="53">
        <f t="shared" si="67"/>
        <v>3169203.4040407911</v>
      </c>
      <c r="P118" s="19"/>
    </row>
    <row r="119" spans="2:16" x14ac:dyDescent="0.35">
      <c r="C119" s="18" t="s">
        <v>9</v>
      </c>
      <c r="E119" s="19">
        <f>E118/D118-1</f>
        <v>1.2284615384615387</v>
      </c>
      <c r="F119" s="19">
        <f>F118/E118-1</f>
        <v>0.92509492578529517</v>
      </c>
      <c r="G119" s="19">
        <f>G118/F118-1</f>
        <v>0.43320781782320239</v>
      </c>
      <c r="H119" s="19">
        <f>H118/G118-1</f>
        <v>0.29627173777054905</v>
      </c>
      <c r="I119" s="19">
        <f t="shared" ref="I119:O119" si="68">I118/H118-1</f>
        <v>0.23031386628832862</v>
      </c>
      <c r="J119" s="19">
        <f t="shared" si="68"/>
        <v>0.18526282408066574</v>
      </c>
      <c r="K119" s="19">
        <f t="shared" si="68"/>
        <v>0.1641205320310124</v>
      </c>
      <c r="L119" s="19">
        <f t="shared" si="68"/>
        <v>0.14803154303266952</v>
      </c>
      <c r="M119" s="19">
        <f t="shared" si="68"/>
        <v>0.1353909839216676</v>
      </c>
      <c r="N119" s="19">
        <f t="shared" si="68"/>
        <v>0.12520843932257142</v>
      </c>
      <c r="O119" s="19">
        <f t="shared" si="68"/>
        <v>0.11683956207069546</v>
      </c>
    </row>
    <row r="122" spans="2:16" x14ac:dyDescent="0.35">
      <c r="C122" s="98" t="s">
        <v>238</v>
      </c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</row>
    <row r="123" spans="2:16" x14ac:dyDescent="0.35">
      <c r="C123" t="s">
        <v>85</v>
      </c>
      <c r="D123">
        <v>1</v>
      </c>
      <c r="E123">
        <f>D123+1</f>
        <v>2</v>
      </c>
      <c r="F123">
        <f t="shared" ref="F123:O123" si="69">E123+1</f>
        <v>3</v>
      </c>
      <c r="G123">
        <f t="shared" si="69"/>
        <v>4</v>
      </c>
      <c r="H123">
        <f t="shared" si="69"/>
        <v>5</v>
      </c>
      <c r="I123">
        <f t="shared" si="69"/>
        <v>6</v>
      </c>
      <c r="J123">
        <f t="shared" si="69"/>
        <v>7</v>
      </c>
      <c r="K123">
        <f t="shared" si="69"/>
        <v>8</v>
      </c>
      <c r="L123">
        <f t="shared" si="69"/>
        <v>9</v>
      </c>
      <c r="M123">
        <f t="shared" si="69"/>
        <v>10</v>
      </c>
      <c r="N123">
        <f t="shared" si="69"/>
        <v>11</v>
      </c>
      <c r="O123">
        <f t="shared" si="69"/>
        <v>12</v>
      </c>
    </row>
    <row r="125" spans="2:16" x14ac:dyDescent="0.35">
      <c r="C125" t="s">
        <v>237</v>
      </c>
      <c r="D125">
        <v>30</v>
      </c>
      <c r="E125">
        <v>30</v>
      </c>
      <c r="F125">
        <v>30</v>
      </c>
      <c r="G125">
        <v>30</v>
      </c>
      <c r="H125">
        <v>30</v>
      </c>
      <c r="I125">
        <v>30</v>
      </c>
      <c r="J125">
        <v>30</v>
      </c>
      <c r="K125">
        <v>30</v>
      </c>
      <c r="L125">
        <v>30</v>
      </c>
      <c r="M125">
        <v>30</v>
      </c>
      <c r="N125">
        <v>30</v>
      </c>
      <c r="O125">
        <v>30</v>
      </c>
    </row>
    <row r="127" spans="2:16" x14ac:dyDescent="0.35">
      <c r="C127" t="s">
        <v>239</v>
      </c>
      <c r="D127" s="102">
        <f>'P&amp;Lv2'!D118</f>
        <v>143000</v>
      </c>
      <c r="E127" s="102">
        <f>D127*(1+E129)</f>
        <v>318670.00000000006</v>
      </c>
      <c r="F127" s="102">
        <f>E127*(1+F129)</f>
        <v>613470.00000000012</v>
      </c>
      <c r="G127" s="102">
        <f>F127*(1+G129)</f>
        <v>879230.00000000012</v>
      </c>
      <c r="H127" s="102">
        <f>G127*(1+H129)</f>
        <v>1139721</v>
      </c>
      <c r="I127" s="102">
        <f t="shared" ref="I127:O127" si="70">H127*(1+I129)</f>
        <v>1402214.5500000003</v>
      </c>
      <c r="J127" s="102">
        <f t="shared" si="70"/>
        <v>1661992.7775000003</v>
      </c>
      <c r="K127" s="102">
        <f t="shared" si="70"/>
        <v>1934759.9163750005</v>
      </c>
      <c r="L127" s="102">
        <f t="shared" si="70"/>
        <v>2221165.4121937505</v>
      </c>
      <c r="M127" s="102">
        <f t="shared" si="70"/>
        <v>2521891.182803439</v>
      </c>
      <c r="N127" s="102">
        <f t="shared" si="70"/>
        <v>2837653.2419436113</v>
      </c>
      <c r="O127" s="102">
        <f t="shared" si="70"/>
        <v>3169203.404040792</v>
      </c>
    </row>
    <row r="128" spans="2:16" x14ac:dyDescent="0.35"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</row>
    <row r="129" spans="3:16" x14ac:dyDescent="0.35">
      <c r="C129" t="s">
        <v>259</v>
      </c>
      <c r="D129" s="36"/>
      <c r="E129" s="36">
        <f>'P&amp;Lv2'!E119</f>
        <v>1.2284615384615387</v>
      </c>
      <c r="F129" s="36">
        <f>'P&amp;Lv2'!F119</f>
        <v>0.92509492578529517</v>
      </c>
      <c r="G129" s="36">
        <f>'P&amp;Lv2'!G119</f>
        <v>0.43320781782320239</v>
      </c>
      <c r="H129" s="36">
        <f>'P&amp;Lv2'!H119</f>
        <v>0.29627173777054905</v>
      </c>
      <c r="I129" s="36">
        <f>'P&amp;Lv2'!I119</f>
        <v>0.23031386628832862</v>
      </c>
      <c r="J129" s="36">
        <f>'P&amp;Lv2'!J119</f>
        <v>0.18526282408066574</v>
      </c>
      <c r="K129" s="36">
        <f>'P&amp;Lv2'!K119</f>
        <v>0.1641205320310124</v>
      </c>
      <c r="L129" s="36">
        <f>'P&amp;Lv2'!L119</f>
        <v>0.14803154303266952</v>
      </c>
      <c r="M129" s="36">
        <f>'P&amp;Lv2'!M119</f>
        <v>0.1353909839216676</v>
      </c>
      <c r="N129" s="36">
        <f>'P&amp;Lv2'!N119</f>
        <v>0.12520843932257142</v>
      </c>
      <c r="O129" s="36">
        <f>'P&amp;Lv2'!O119</f>
        <v>0.11683956207069546</v>
      </c>
    </row>
    <row r="130" spans="3:16" x14ac:dyDescent="0.35"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</row>
    <row r="131" spans="3:16" x14ac:dyDescent="0.35">
      <c r="C131" t="s">
        <v>250</v>
      </c>
      <c r="D131" s="101">
        <f>ModelDrivers!D31</f>
        <v>3250</v>
      </c>
      <c r="E131" s="101">
        <f>E127*E141</f>
        <v>7242.5000000000018</v>
      </c>
      <c r="F131" s="101">
        <f>F127*F141</f>
        <v>13942.500000000004</v>
      </c>
      <c r="G131" s="101">
        <f>G127*G141</f>
        <v>19982.500000000004</v>
      </c>
      <c r="H131" s="101">
        <f t="shared" ref="H131:O131" si="71">H127*H141</f>
        <v>25902.75</v>
      </c>
      <c r="I131" s="101">
        <f t="shared" si="71"/>
        <v>31868.512500000008</v>
      </c>
      <c r="J131" s="101">
        <f t="shared" si="71"/>
        <v>37772.563125000008</v>
      </c>
      <c r="K131" s="101">
        <f t="shared" si="71"/>
        <v>43971.816281250016</v>
      </c>
      <c r="L131" s="101">
        <f t="shared" si="71"/>
        <v>50481.032095312512</v>
      </c>
      <c r="M131" s="101">
        <f t="shared" si="71"/>
        <v>57315.708700078161</v>
      </c>
      <c r="N131" s="101">
        <f t="shared" si="71"/>
        <v>64492.119135082074</v>
      </c>
      <c r="O131" s="101">
        <f t="shared" si="71"/>
        <v>72027.350091836182</v>
      </c>
      <c r="P131" t="s">
        <v>10</v>
      </c>
    </row>
    <row r="132" spans="3:16" x14ac:dyDescent="0.35">
      <c r="C132" t="s">
        <v>243</v>
      </c>
      <c r="D132" s="101">
        <f>'Head Count'!H12</f>
        <v>60000</v>
      </c>
      <c r="E132" s="101">
        <f>'Head Count'!I12</f>
        <v>70000</v>
      </c>
      <c r="F132" s="101">
        <f>'Head Count'!J12</f>
        <v>70000</v>
      </c>
      <c r="G132" s="101">
        <f>'Head Count'!K12</f>
        <v>160000</v>
      </c>
      <c r="H132" s="101">
        <f>'Head Count'!L12</f>
        <v>160000</v>
      </c>
      <c r="I132" s="101">
        <f>'Head Count'!M12</f>
        <v>180000</v>
      </c>
      <c r="J132" s="101">
        <f>'Head Count'!N12</f>
        <v>270000</v>
      </c>
      <c r="K132" s="101">
        <f>'Head Count'!O12</f>
        <v>276000</v>
      </c>
      <c r="L132" s="101">
        <f>'Head Count'!P12</f>
        <v>276000</v>
      </c>
      <c r="M132" s="101">
        <f>'Head Count'!Q12</f>
        <v>368000</v>
      </c>
      <c r="N132" s="101">
        <f>'Head Count'!R12</f>
        <v>368000</v>
      </c>
      <c r="O132" s="101">
        <f>'Head Count'!S12</f>
        <v>368000</v>
      </c>
    </row>
    <row r="133" spans="3:16" x14ac:dyDescent="0.35">
      <c r="C133" t="s">
        <v>244</v>
      </c>
      <c r="D133" s="101">
        <f>D125*ModelDrivers!$J$31</f>
        <v>65967.600000000006</v>
      </c>
      <c r="E133" s="101">
        <f>D133*E142</f>
        <v>30431.638110209795</v>
      </c>
      <c r="F133" s="101">
        <f>E133*F142</f>
        <v>14038.476434958573</v>
      </c>
      <c r="G133" s="101">
        <f>F133*G142</f>
        <v>6476.1160704249878</v>
      </c>
      <c r="H133" s="101">
        <f>G133*H142</f>
        <v>2987.5093320794927</v>
      </c>
      <c r="I133" s="101">
        <f t="shared" ref="I133:O133" si="72">H133*I142</f>
        <v>1378.1735707334767</v>
      </c>
      <c r="J133" s="101">
        <f t="shared" si="72"/>
        <v>635.76785206096304</v>
      </c>
      <c r="K133" s="101">
        <f t="shared" si="72"/>
        <v>293.28726823508242</v>
      </c>
      <c r="L133" s="101">
        <f t="shared" si="72"/>
        <v>135.29690346870368</v>
      </c>
      <c r="M133" s="101">
        <f t="shared" si="72"/>
        <v>62.414069994839565</v>
      </c>
      <c r="N133" s="101">
        <f t="shared" si="72"/>
        <v>28.792352474066988</v>
      </c>
      <c r="O133" s="101">
        <f t="shared" si="72"/>
        <v>13.282254482994837</v>
      </c>
    </row>
    <row r="134" spans="3:16" x14ac:dyDescent="0.35">
      <c r="C134" t="s">
        <v>245</v>
      </c>
      <c r="D134" s="101">
        <f>ModelDrivers!D31</f>
        <v>3250</v>
      </c>
      <c r="E134" s="101">
        <f>D134</f>
        <v>3250</v>
      </c>
      <c r="F134" s="101">
        <f>E134</f>
        <v>3250</v>
      </c>
      <c r="G134" s="101">
        <f>F134</f>
        <v>3250</v>
      </c>
      <c r="H134" s="101">
        <f>G134</f>
        <v>3250</v>
      </c>
      <c r="I134" s="101">
        <f t="shared" ref="I134:O134" si="73">H134</f>
        <v>3250</v>
      </c>
      <c r="J134" s="101">
        <f t="shared" si="73"/>
        <v>3250</v>
      </c>
      <c r="K134" s="101">
        <f t="shared" si="73"/>
        <v>3250</v>
      </c>
      <c r="L134" s="101">
        <f t="shared" si="73"/>
        <v>3250</v>
      </c>
      <c r="M134" s="101">
        <f t="shared" si="73"/>
        <v>3250</v>
      </c>
      <c r="N134" s="101">
        <f t="shared" si="73"/>
        <v>3250</v>
      </c>
      <c r="O134" s="101">
        <f t="shared" si="73"/>
        <v>3250</v>
      </c>
    </row>
    <row r="135" spans="3:16" x14ac:dyDescent="0.35">
      <c r="C135" t="s">
        <v>251</v>
      </c>
      <c r="D135" s="101">
        <f>SUM(D131:D134)</f>
        <v>132467.6</v>
      </c>
      <c r="E135" s="101">
        <f>SUM(E131:E134)</f>
        <v>110924.13811020979</v>
      </c>
      <c r="F135" s="101">
        <f>SUM(F131:F134)</f>
        <v>101230.97643495857</v>
      </c>
      <c r="G135" s="101">
        <f>SUM(G131:G134)</f>
        <v>189708.61607042499</v>
      </c>
      <c r="H135" s="101">
        <f t="shared" ref="H135:O135" si="74">SUM(H131:H134)</f>
        <v>192140.2593320795</v>
      </c>
      <c r="I135" s="101">
        <f t="shared" si="74"/>
        <v>216496.6860707335</v>
      </c>
      <c r="J135" s="101">
        <f t="shared" si="74"/>
        <v>311658.33097706095</v>
      </c>
      <c r="K135" s="101">
        <f t="shared" si="74"/>
        <v>323515.10354948509</v>
      </c>
      <c r="L135" s="101">
        <f t="shared" si="74"/>
        <v>329866.32899878122</v>
      </c>
      <c r="M135" s="101">
        <f t="shared" si="74"/>
        <v>428628.12277007301</v>
      </c>
      <c r="N135" s="101">
        <f t="shared" si="74"/>
        <v>435770.91148755612</v>
      </c>
      <c r="O135" s="101">
        <f t="shared" si="74"/>
        <v>443290.63234631915</v>
      </c>
    </row>
    <row r="136" spans="3:16" x14ac:dyDescent="0.35">
      <c r="C136" s="97" t="s">
        <v>1</v>
      </c>
      <c r="D136" s="100">
        <f>D127-D135</f>
        <v>10532.399999999994</v>
      </c>
      <c r="E136" s="100">
        <f>E127-E135</f>
        <v>207745.86188979028</v>
      </c>
      <c r="F136" s="100">
        <f>F127-F135</f>
        <v>512239.02356504154</v>
      </c>
      <c r="G136" s="100">
        <f>G127-G135</f>
        <v>689521.38392957509</v>
      </c>
      <c r="H136" s="100">
        <f t="shared" ref="H136:O136" si="75">H127-H135</f>
        <v>947580.74066792056</v>
      </c>
      <c r="I136" s="100">
        <f t="shared" si="75"/>
        <v>1185717.8639292668</v>
      </c>
      <c r="J136" s="100">
        <f t="shared" si="75"/>
        <v>1350334.4465229395</v>
      </c>
      <c r="K136" s="100">
        <f t="shared" si="75"/>
        <v>1611244.8128255154</v>
      </c>
      <c r="L136" s="100">
        <f t="shared" si="75"/>
        <v>1891299.0831949692</v>
      </c>
      <c r="M136" s="100">
        <f t="shared" si="75"/>
        <v>2093263.0600333661</v>
      </c>
      <c r="N136" s="100">
        <f t="shared" si="75"/>
        <v>2401882.3304560552</v>
      </c>
      <c r="O136" s="100">
        <f t="shared" si="75"/>
        <v>2725912.771694473</v>
      </c>
    </row>
    <row r="138" spans="3:16" x14ac:dyDescent="0.35">
      <c r="D138" s="36">
        <f>((D127-D135) / D127)</f>
        <v>7.3653146853146806E-2</v>
      </c>
      <c r="E138" s="36">
        <f>((E127-E135) / E127)</f>
        <v>0.65191534154388631</v>
      </c>
      <c r="F138" s="36">
        <f>((F127-F135) / F127)</f>
        <v>0.8349862643080207</v>
      </c>
      <c r="G138" s="36">
        <f>((G127-G135) / G127)</f>
        <v>0.78423323127006017</v>
      </c>
      <c r="H138" s="36">
        <f t="shared" ref="H138:O138" si="76">((H127-H135) / H127)</f>
        <v>0.83141465382134805</v>
      </c>
      <c r="I138" s="36">
        <f t="shared" si="76"/>
        <v>0.84560373726635951</v>
      </c>
      <c r="J138" s="36">
        <f t="shared" si="76"/>
        <v>0.81247913035707475</v>
      </c>
      <c r="K138" s="36">
        <f t="shared" si="76"/>
        <v>0.83278798531466969</v>
      </c>
      <c r="L138" s="36">
        <f t="shared" si="76"/>
        <v>0.85148952563916147</v>
      </c>
      <c r="M138" s="36">
        <f t="shared" si="76"/>
        <v>0.83003702709583527</v>
      </c>
      <c r="N138" s="36">
        <f t="shared" si="76"/>
        <v>0.84643264192876477</v>
      </c>
      <c r="O138" s="36">
        <f t="shared" si="76"/>
        <v>0.86012553445414219</v>
      </c>
    </row>
    <row r="140" spans="3:16" x14ac:dyDescent="0.35">
      <c r="D140" s="96" t="s">
        <v>247</v>
      </c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</row>
    <row r="141" spans="3:16" x14ac:dyDescent="0.35">
      <c r="C141" t="s">
        <v>246</v>
      </c>
      <c r="D141" s="46">
        <f>D131/D127</f>
        <v>2.2727272727272728E-2</v>
      </c>
      <c r="E141" s="46">
        <f t="shared" ref="E141:G142" si="77">D141</f>
        <v>2.2727272727272728E-2</v>
      </c>
      <c r="F141" s="46">
        <f t="shared" si="77"/>
        <v>2.2727272727272728E-2</v>
      </c>
      <c r="G141" s="46">
        <f t="shared" si="77"/>
        <v>2.2727272727272728E-2</v>
      </c>
      <c r="H141" s="46">
        <f>G141</f>
        <v>2.2727272727272728E-2</v>
      </c>
      <c r="I141" s="46">
        <f t="shared" ref="I141:O142" si="78">H141</f>
        <v>2.2727272727272728E-2</v>
      </c>
      <c r="J141" s="46">
        <f t="shared" si="78"/>
        <v>2.2727272727272728E-2</v>
      </c>
      <c r="K141" s="46">
        <f t="shared" si="78"/>
        <v>2.2727272727272728E-2</v>
      </c>
      <c r="L141" s="46">
        <f t="shared" si="78"/>
        <v>2.2727272727272728E-2</v>
      </c>
      <c r="M141" s="46">
        <f t="shared" si="78"/>
        <v>2.2727272727272728E-2</v>
      </c>
      <c r="N141" s="46">
        <f t="shared" si="78"/>
        <v>2.2727272727272728E-2</v>
      </c>
      <c r="O141" s="46">
        <f t="shared" si="78"/>
        <v>2.2727272727272728E-2</v>
      </c>
    </row>
    <row r="142" spans="3:16" x14ac:dyDescent="0.35">
      <c r="C142" t="s">
        <v>226</v>
      </c>
      <c r="D142" s="46">
        <f>D133/D127</f>
        <v>0.46131188811188817</v>
      </c>
      <c r="E142" s="46">
        <f t="shared" si="77"/>
        <v>0.46131188811188817</v>
      </c>
      <c r="F142" s="46">
        <f t="shared" si="77"/>
        <v>0.46131188811188817</v>
      </c>
      <c r="G142" s="46">
        <f t="shared" si="77"/>
        <v>0.46131188811188817</v>
      </c>
      <c r="H142" s="46">
        <f>G142</f>
        <v>0.46131188811188817</v>
      </c>
      <c r="I142" s="46">
        <f t="shared" si="78"/>
        <v>0.46131188811188817</v>
      </c>
      <c r="J142" s="46">
        <f t="shared" si="78"/>
        <v>0.46131188811188817</v>
      </c>
      <c r="K142" s="46">
        <f t="shared" si="78"/>
        <v>0.46131188811188817</v>
      </c>
      <c r="L142" s="46">
        <f t="shared" si="78"/>
        <v>0.46131188811188817</v>
      </c>
      <c r="M142" s="46">
        <f t="shared" si="78"/>
        <v>0.46131188811188817</v>
      </c>
      <c r="N142" s="46">
        <f t="shared" si="78"/>
        <v>0.46131188811188817</v>
      </c>
      <c r="O142" s="46">
        <f t="shared" si="78"/>
        <v>0.46131188811188817</v>
      </c>
    </row>
  </sheetData>
  <dataValidations count="1">
    <dataValidation type="list" allowBlank="1" showInputMessage="1" showErrorMessage="1" sqref="B113:B115" xr:uid="{CFC931B8-714F-4793-9B91-3844443A0131}">
      <formula1>$D$13:$D$15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2F37-54D1-4B77-B358-D1C8159E265B}">
  <dimension ref="B1:W42"/>
  <sheetViews>
    <sheetView topLeftCell="B1" workbookViewId="0">
      <selection activeCell="E1" sqref="E1"/>
    </sheetView>
  </sheetViews>
  <sheetFormatPr defaultRowHeight="14.5" x14ac:dyDescent="0.35"/>
  <cols>
    <col min="2" max="2" width="1.7265625" bestFit="1" customWidth="1"/>
    <col min="3" max="3" width="31.81640625" bestFit="1" customWidth="1"/>
    <col min="4" max="4" width="9.453125" bestFit="1" customWidth="1"/>
    <col min="15" max="15" width="1.7265625" bestFit="1" customWidth="1"/>
  </cols>
  <sheetData>
    <row r="1" spans="2:22" ht="15" thickBot="1" x14ac:dyDescent="0.4"/>
    <row r="2" spans="2:22" ht="15" thickBot="1" x14ac:dyDescent="0.4">
      <c r="B2" t="s">
        <v>10</v>
      </c>
      <c r="C2" s="20" t="str">
        <f>"Financial Statement Model for "&amp;D5</f>
        <v>Financial Statement Model for Apple</v>
      </c>
      <c r="D2" s="21"/>
      <c r="E2" s="21"/>
      <c r="F2" s="21"/>
      <c r="G2" s="21"/>
      <c r="H2" s="21"/>
      <c r="I2" s="21"/>
      <c r="J2" s="21"/>
      <c r="K2" s="21"/>
    </row>
    <row r="3" spans="2:22" x14ac:dyDescent="0.35">
      <c r="C3" s="22" t="s">
        <v>11</v>
      </c>
      <c r="D3" s="23"/>
      <c r="E3" s="23"/>
      <c r="F3" s="23"/>
      <c r="G3" s="23"/>
      <c r="H3" s="23"/>
    </row>
    <row r="5" spans="2:22" x14ac:dyDescent="0.35">
      <c r="C5" s="12" t="s">
        <v>12</v>
      </c>
      <c r="D5" s="24" t="s">
        <v>13</v>
      </c>
    </row>
    <row r="6" spans="2:22" x14ac:dyDescent="0.35">
      <c r="C6" s="12" t="s">
        <v>14</v>
      </c>
      <c r="D6" s="24" t="s">
        <v>15</v>
      </c>
    </row>
    <row r="7" spans="2:22" x14ac:dyDescent="0.35">
      <c r="C7" t="s">
        <v>16</v>
      </c>
      <c r="D7" s="25">
        <v>1</v>
      </c>
    </row>
    <row r="8" spans="2:22" x14ac:dyDescent="0.35">
      <c r="C8" t="s">
        <v>17</v>
      </c>
      <c r="D8" s="26">
        <v>43500</v>
      </c>
    </row>
    <row r="9" spans="2:22" x14ac:dyDescent="0.35">
      <c r="C9" s="12" t="s">
        <v>18</v>
      </c>
      <c r="D9" s="27">
        <v>45198</v>
      </c>
    </row>
    <row r="10" spans="2:22" x14ac:dyDescent="0.35">
      <c r="C10" t="s">
        <v>19</v>
      </c>
      <c r="D10" s="25" t="s">
        <v>20</v>
      </c>
    </row>
    <row r="13" spans="2:22" x14ac:dyDescent="0.35">
      <c r="C13" s="17"/>
      <c r="D13" s="17"/>
    </row>
    <row r="14" spans="2:22" x14ac:dyDescent="0.35">
      <c r="B14" t="s">
        <v>10</v>
      </c>
      <c r="C14" s="6" t="s">
        <v>21</v>
      </c>
      <c r="D14" s="8"/>
      <c r="E14" s="8"/>
      <c r="F14" s="8"/>
      <c r="G14" s="8"/>
      <c r="H14" s="8"/>
      <c r="I14" s="8"/>
      <c r="J14" s="8"/>
      <c r="O14" t="s">
        <v>10</v>
      </c>
    </row>
    <row r="15" spans="2:22" x14ac:dyDescent="0.35">
      <c r="C15" t="s">
        <v>22</v>
      </c>
      <c r="D15" s="28">
        <f>E15-1</f>
        <v>2021</v>
      </c>
      <c r="E15" s="28">
        <f>F15-1</f>
        <v>2022</v>
      </c>
      <c r="F15" s="28">
        <f>YEAR(D9)</f>
        <v>2023</v>
      </c>
      <c r="G15" s="29">
        <f>F15+1</f>
        <v>2024</v>
      </c>
      <c r="H15" s="29">
        <f>G15+1</f>
        <v>2025</v>
      </c>
      <c r="I15" s="29">
        <f>H15+1</f>
        <v>2026</v>
      </c>
      <c r="J15" s="29">
        <f>I15+1</f>
        <v>2027</v>
      </c>
      <c r="K15" s="67">
        <f>J15+1</f>
        <v>2028</v>
      </c>
      <c r="L15" s="67">
        <f t="shared" ref="L15:M15" si="0">K15+1</f>
        <v>2029</v>
      </c>
      <c r="M15" s="67">
        <f t="shared" si="0"/>
        <v>2030</v>
      </c>
    </row>
    <row r="16" spans="2:22" x14ac:dyDescent="0.35">
      <c r="C16" s="30" t="s">
        <v>23</v>
      </c>
      <c r="D16" s="31">
        <f>EOMONTH(E16,-12)</f>
        <v>44469</v>
      </c>
      <c r="E16" s="31">
        <f>EOMONTH(F16,-12)</f>
        <v>44834</v>
      </c>
      <c r="F16" s="31">
        <f>D9</f>
        <v>45198</v>
      </c>
      <c r="G16" s="31">
        <f>EOMONTH(F16,12)</f>
        <v>45565</v>
      </c>
      <c r="H16" s="31">
        <f>EOMONTH(G16,12)</f>
        <v>45930</v>
      </c>
      <c r="I16" s="31">
        <f>EOMONTH(H16,12)</f>
        <v>46295</v>
      </c>
      <c r="J16" s="31">
        <f>EOMONTH(I16,12)</f>
        <v>46660</v>
      </c>
      <c r="K16" s="31">
        <f>EOMONTH(J16,12)</f>
        <v>47026</v>
      </c>
      <c r="L16" s="31">
        <f t="shared" ref="L16:M16" si="1">EOMONTH(K16,12)</f>
        <v>47391</v>
      </c>
      <c r="M16" s="31">
        <f t="shared" si="1"/>
        <v>47756</v>
      </c>
      <c r="P16" s="32" t="s">
        <v>24</v>
      </c>
      <c r="Q16" s="33"/>
      <c r="R16" s="33"/>
      <c r="S16" s="33"/>
      <c r="T16" s="33"/>
      <c r="U16" s="33"/>
      <c r="V16" s="33"/>
    </row>
    <row r="17" spans="3:17" x14ac:dyDescent="0.35">
      <c r="C17" s="10"/>
      <c r="D17" s="34"/>
      <c r="E17" s="35"/>
      <c r="F17" s="35"/>
      <c r="G17" s="36"/>
      <c r="H17" s="37"/>
      <c r="I17" s="37"/>
      <c r="J17" s="35"/>
      <c r="K17" s="35"/>
      <c r="L17" s="35"/>
      <c r="M17" s="35"/>
    </row>
    <row r="18" spans="3:17" x14ac:dyDescent="0.35">
      <c r="C18" t="s">
        <v>25</v>
      </c>
      <c r="D18" s="13">
        <v>215639</v>
      </c>
      <c r="E18" s="13">
        <v>229234</v>
      </c>
      <c r="F18" s="13">
        <v>265595</v>
      </c>
      <c r="G18" s="16">
        <f>F18*(1+G37)</f>
        <v>265595</v>
      </c>
      <c r="H18" s="16">
        <f>G18*(1+H37)</f>
        <v>265595</v>
      </c>
      <c r="I18" s="16">
        <f>H18*(1+I37)</f>
        <v>265595</v>
      </c>
      <c r="J18" s="16">
        <f>I18*(1+J37)</f>
        <v>265595</v>
      </c>
      <c r="K18" s="16">
        <f>J18*(1+K37)</f>
        <v>265595</v>
      </c>
      <c r="L18" s="16">
        <f t="shared" ref="L18:M18" si="2">K18*(1+L37)</f>
        <v>265595</v>
      </c>
      <c r="M18" s="16">
        <f t="shared" si="2"/>
        <v>265595</v>
      </c>
      <c r="P18" t="s">
        <v>8</v>
      </c>
    </row>
    <row r="19" spans="3:17" x14ac:dyDescent="0.35">
      <c r="C19" t="s">
        <v>26</v>
      </c>
      <c r="D19" s="13">
        <v>-131376</v>
      </c>
      <c r="E19" s="13">
        <v>-141048</v>
      </c>
      <c r="F19" s="13">
        <v>-163756</v>
      </c>
      <c r="G19" s="16">
        <f>G20-G18</f>
        <v>-265595</v>
      </c>
      <c r="H19" s="16">
        <f>H20-H18</f>
        <v>-265595</v>
      </c>
      <c r="I19" s="16">
        <f>I20-I18</f>
        <v>-265595</v>
      </c>
      <c r="J19" s="16">
        <f>J20-J18</f>
        <v>-265595</v>
      </c>
      <c r="K19" s="16">
        <f>K20-K18</f>
        <v>-265595</v>
      </c>
      <c r="L19" s="16">
        <f t="shared" ref="L19:M19" si="3">L20-L18</f>
        <v>-265595</v>
      </c>
      <c r="M19" s="16">
        <f t="shared" si="3"/>
        <v>-265595</v>
      </c>
      <c r="P19" t="s">
        <v>27</v>
      </c>
    </row>
    <row r="20" spans="3:17" x14ac:dyDescent="0.35">
      <c r="C20" s="17" t="s">
        <v>1</v>
      </c>
      <c r="D20" s="38">
        <f>SUM(D18:D19)</f>
        <v>84263</v>
      </c>
      <c r="E20" s="38">
        <f>SUM(E18:E19)</f>
        <v>88186</v>
      </c>
      <c r="F20" s="38">
        <f>SUM(F18:F19)</f>
        <v>101839</v>
      </c>
      <c r="G20" s="38">
        <f>G18*G38</f>
        <v>0</v>
      </c>
      <c r="H20" s="38">
        <f>H18*H38</f>
        <v>0</v>
      </c>
      <c r="I20" s="38">
        <f>I18*I38</f>
        <v>0</v>
      </c>
      <c r="J20" s="38">
        <f>J18*J38</f>
        <v>0</v>
      </c>
      <c r="K20" s="38">
        <f>K18*K38</f>
        <v>0</v>
      </c>
      <c r="L20" s="38">
        <f t="shared" ref="L20:M20" si="4">L18*L38</f>
        <v>0</v>
      </c>
      <c r="M20" s="38">
        <f t="shared" si="4"/>
        <v>0</v>
      </c>
      <c r="P20" s="39" t="s">
        <v>28</v>
      </c>
    </row>
    <row r="21" spans="3:17" x14ac:dyDescent="0.35">
      <c r="C21" t="s">
        <v>29</v>
      </c>
      <c r="D21" s="13">
        <v>-10045</v>
      </c>
      <c r="E21" s="13">
        <v>-11581</v>
      </c>
      <c r="F21" s="13">
        <v>-14236</v>
      </c>
      <c r="G21" s="16">
        <f>-G39*G18</f>
        <v>0</v>
      </c>
      <c r="H21" s="16">
        <f>-H39*H18</f>
        <v>0</v>
      </c>
      <c r="I21" s="16">
        <f>-I39*I18</f>
        <v>0</v>
      </c>
      <c r="J21" s="16">
        <f>-J39*J18</f>
        <v>0</v>
      </c>
      <c r="K21" s="16">
        <f>-K39*K18</f>
        <v>0</v>
      </c>
      <c r="L21" s="16">
        <f t="shared" ref="L21:M21" si="5">-L39*L18</f>
        <v>0</v>
      </c>
      <c r="M21" s="16">
        <f t="shared" si="5"/>
        <v>0</v>
      </c>
      <c r="N21" s="16"/>
      <c r="P21" s="39" t="s">
        <v>30</v>
      </c>
    </row>
    <row r="22" spans="3:17" x14ac:dyDescent="0.35">
      <c r="C22" t="s">
        <v>31</v>
      </c>
      <c r="D22" s="13">
        <v>-14194</v>
      </c>
      <c r="E22" s="13">
        <v>-15261</v>
      </c>
      <c r="F22" s="13">
        <v>-16705</v>
      </c>
      <c r="G22" s="16">
        <f>-G18*G40</f>
        <v>0</v>
      </c>
      <c r="H22" s="16">
        <f>-H18*H40</f>
        <v>0</v>
      </c>
      <c r="I22" s="16">
        <f>-I18*I40</f>
        <v>0</v>
      </c>
      <c r="J22" s="16">
        <f>-J18*J40</f>
        <v>0</v>
      </c>
      <c r="K22" s="16">
        <f>-K18*K40</f>
        <v>0</v>
      </c>
      <c r="L22" s="16">
        <f t="shared" ref="L22:M22" si="6">-L18*L40</f>
        <v>0</v>
      </c>
      <c r="M22" s="16">
        <f t="shared" si="6"/>
        <v>0</v>
      </c>
      <c r="N22" s="16"/>
      <c r="P22" s="39" t="s">
        <v>32</v>
      </c>
    </row>
    <row r="23" spans="3:17" x14ac:dyDescent="0.35">
      <c r="C23" s="17" t="s">
        <v>33</v>
      </c>
      <c r="D23" s="38">
        <f t="shared" ref="D23:K23" si="7">D20+D21+D22</f>
        <v>60024</v>
      </c>
      <c r="E23" s="38">
        <f t="shared" si="7"/>
        <v>61344</v>
      </c>
      <c r="F23" s="38">
        <f t="shared" si="7"/>
        <v>70898</v>
      </c>
      <c r="G23" s="38">
        <f t="shared" si="7"/>
        <v>0</v>
      </c>
      <c r="H23" s="38">
        <f t="shared" si="7"/>
        <v>0</v>
      </c>
      <c r="I23" s="38">
        <f t="shared" si="7"/>
        <v>0</v>
      </c>
      <c r="J23" s="38">
        <f t="shared" si="7"/>
        <v>0</v>
      </c>
      <c r="K23" s="38">
        <f t="shared" si="7"/>
        <v>0</v>
      </c>
      <c r="L23" s="38">
        <f t="shared" ref="L23:M23" si="8">L20+L21+L22</f>
        <v>0</v>
      </c>
      <c r="M23" s="38">
        <f t="shared" si="8"/>
        <v>0</v>
      </c>
      <c r="N23" s="38"/>
      <c r="P23" s="17" t="s">
        <v>34</v>
      </c>
    </row>
    <row r="24" spans="3:17" x14ac:dyDescent="0.35">
      <c r="C24" t="s">
        <v>35</v>
      </c>
      <c r="D24" s="13">
        <v>3999</v>
      </c>
      <c r="E24" s="13">
        <v>5201</v>
      </c>
      <c r="F24" s="13">
        <v>5686</v>
      </c>
      <c r="G24" s="40">
        <f>G157</f>
        <v>0</v>
      </c>
      <c r="H24" s="40">
        <f>H157</f>
        <v>0</v>
      </c>
      <c r="I24" s="40">
        <f>I157</f>
        <v>0</v>
      </c>
      <c r="J24" s="40">
        <f>J157</f>
        <v>0</v>
      </c>
      <c r="K24" s="40">
        <f>K157</f>
        <v>0</v>
      </c>
      <c r="L24" s="40">
        <f t="shared" ref="L24:M24" si="9">L157</f>
        <v>0</v>
      </c>
      <c r="M24" s="40">
        <f t="shared" si="9"/>
        <v>0</v>
      </c>
      <c r="N24" s="40"/>
      <c r="P24" t="s">
        <v>36</v>
      </c>
    </row>
    <row r="25" spans="3:17" x14ac:dyDescent="0.35">
      <c r="C25" t="s">
        <v>37</v>
      </c>
      <c r="D25" s="13">
        <v>-1456</v>
      </c>
      <c r="E25" s="13">
        <v>-2323</v>
      </c>
      <c r="F25" s="13">
        <v>-3240</v>
      </c>
      <c r="G25" s="40">
        <f>-G143</f>
        <v>0</v>
      </c>
      <c r="H25" s="40">
        <f>-H143</f>
        <v>0</v>
      </c>
      <c r="I25" s="40">
        <f>-I143</f>
        <v>0</v>
      </c>
      <c r="J25" s="40">
        <f>-J143</f>
        <v>0</v>
      </c>
      <c r="K25" s="40">
        <f>-K143</f>
        <v>0</v>
      </c>
      <c r="L25" s="40">
        <f t="shared" ref="L25:M25" si="10">-L143</f>
        <v>0</v>
      </c>
      <c r="M25" s="40">
        <f t="shared" si="10"/>
        <v>0</v>
      </c>
      <c r="N25" s="40"/>
      <c r="P25" t="s">
        <v>38</v>
      </c>
    </row>
    <row r="26" spans="3:17" x14ac:dyDescent="0.35">
      <c r="C26" t="s">
        <v>39</v>
      </c>
      <c r="D26" s="13">
        <v>-1195</v>
      </c>
      <c r="E26" s="13">
        <v>-133</v>
      </c>
      <c r="F26" s="13">
        <v>-441</v>
      </c>
      <c r="G26" s="40">
        <f>F26</f>
        <v>-441</v>
      </c>
      <c r="H26" s="40">
        <f>G26</f>
        <v>-441</v>
      </c>
      <c r="I26" s="40">
        <f>H26</f>
        <v>-441</v>
      </c>
      <c r="J26" s="40">
        <f>I26</f>
        <v>-441</v>
      </c>
      <c r="K26" s="40">
        <f>J26</f>
        <v>-441</v>
      </c>
      <c r="L26" s="40">
        <f t="shared" ref="L26:M26" si="11">K26</f>
        <v>-441</v>
      </c>
      <c r="M26" s="40">
        <f t="shared" si="11"/>
        <v>-441</v>
      </c>
      <c r="N26" s="40"/>
      <c r="P26" t="s">
        <v>40</v>
      </c>
    </row>
    <row r="27" spans="3:17" x14ac:dyDescent="0.35">
      <c r="C27" s="17" t="s">
        <v>41</v>
      </c>
      <c r="D27" s="38">
        <f t="shared" ref="D27:K27" si="12">SUM(D23:D26)</f>
        <v>61372</v>
      </c>
      <c r="E27" s="38">
        <f t="shared" si="12"/>
        <v>64089</v>
      </c>
      <c r="F27" s="38">
        <f t="shared" si="12"/>
        <v>72903</v>
      </c>
      <c r="G27" s="38">
        <f>SUM(G23:G26)</f>
        <v>-441</v>
      </c>
      <c r="H27" s="38">
        <f t="shared" si="12"/>
        <v>-441</v>
      </c>
      <c r="I27" s="38">
        <f t="shared" si="12"/>
        <v>-441</v>
      </c>
      <c r="J27" s="38">
        <f t="shared" si="12"/>
        <v>-441</v>
      </c>
      <c r="K27" s="38">
        <f t="shared" si="12"/>
        <v>-441</v>
      </c>
      <c r="L27" s="38">
        <f t="shared" ref="L27:M27" si="13">SUM(L23:L26)</f>
        <v>-441</v>
      </c>
      <c r="M27" s="38">
        <f t="shared" si="13"/>
        <v>-441</v>
      </c>
      <c r="N27" s="38"/>
      <c r="P27" s="17" t="s">
        <v>42</v>
      </c>
      <c r="Q27" s="17"/>
    </row>
    <row r="28" spans="3:17" x14ac:dyDescent="0.35">
      <c r="C28" t="s">
        <v>43</v>
      </c>
      <c r="D28" s="13">
        <v>-15685</v>
      </c>
      <c r="E28" s="13">
        <v>-15738</v>
      </c>
      <c r="F28" s="13">
        <v>-13372</v>
      </c>
      <c r="G28" s="16">
        <f>-G41*G27</f>
        <v>73.647000000000006</v>
      </c>
      <c r="H28" s="16">
        <f>-H41*H27</f>
        <v>74.97</v>
      </c>
      <c r="I28" s="16">
        <f>-I41*I27</f>
        <v>74.529000000000011</v>
      </c>
      <c r="J28" s="16">
        <f>-J41*J27</f>
        <v>74.529000000000011</v>
      </c>
      <c r="K28" s="16">
        <f>-K41*K27</f>
        <v>74.529000000000011</v>
      </c>
      <c r="L28" s="16">
        <f t="shared" ref="L28:M28" si="14">-L41*L27</f>
        <v>74.529000000000011</v>
      </c>
      <c r="M28" s="16">
        <f t="shared" si="14"/>
        <v>74.529000000000011</v>
      </c>
      <c r="N28" s="16"/>
      <c r="P28" t="s">
        <v>44</v>
      </c>
    </row>
    <row r="29" spans="3:17" x14ac:dyDescent="0.35">
      <c r="C29" s="17" t="s">
        <v>45</v>
      </c>
      <c r="D29" s="38">
        <f t="shared" ref="D29:K29" si="15">SUM(D27:D28)</f>
        <v>45687</v>
      </c>
      <c r="E29" s="38">
        <f t="shared" si="15"/>
        <v>48351</v>
      </c>
      <c r="F29" s="38">
        <f t="shared" si="15"/>
        <v>59531</v>
      </c>
      <c r="G29" s="38">
        <f>SUM(G27:G28)</f>
        <v>-367.35300000000001</v>
      </c>
      <c r="H29" s="38">
        <f t="shared" si="15"/>
        <v>-366.03</v>
      </c>
      <c r="I29" s="38">
        <f t="shared" si="15"/>
        <v>-366.471</v>
      </c>
      <c r="J29" s="38">
        <f t="shared" si="15"/>
        <v>-366.471</v>
      </c>
      <c r="K29" s="38">
        <f t="shared" si="15"/>
        <v>-366.471</v>
      </c>
      <c r="L29" s="38">
        <f t="shared" ref="L29:M29" si="16">SUM(L27:L28)</f>
        <v>-366.471</v>
      </c>
      <c r="M29" s="38">
        <f t="shared" si="16"/>
        <v>-366.471</v>
      </c>
      <c r="N29" s="38"/>
      <c r="P29" s="17" t="s">
        <v>46</v>
      </c>
    </row>
    <row r="30" spans="3:17" x14ac:dyDescent="0.35">
      <c r="C30" s="3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</row>
    <row r="31" spans="3:17" x14ac:dyDescent="0.35">
      <c r="C31" s="41" t="s">
        <v>47</v>
      </c>
      <c r="D31" s="13">
        <v>10505</v>
      </c>
      <c r="E31" s="13">
        <v>10157</v>
      </c>
      <c r="F31" s="13">
        <v>10903</v>
      </c>
      <c r="G31" s="40">
        <f>G107</f>
        <v>0</v>
      </c>
      <c r="H31" s="40">
        <f>H107</f>
        <v>0</v>
      </c>
      <c r="I31" s="40">
        <f>I107</f>
        <v>0</v>
      </c>
      <c r="J31" s="40">
        <f>J107</f>
        <v>0</v>
      </c>
      <c r="K31" s="40">
        <f>K107</f>
        <v>0</v>
      </c>
      <c r="L31" s="40">
        <f t="shared" ref="L31:M31" si="17">L107</f>
        <v>0</v>
      </c>
      <c r="M31" s="40">
        <f t="shared" si="17"/>
        <v>0</v>
      </c>
      <c r="N31" s="40"/>
      <c r="P31" t="s">
        <v>48</v>
      </c>
    </row>
    <row r="32" spans="3:17" x14ac:dyDescent="0.35">
      <c r="C32" s="42" t="s">
        <v>49</v>
      </c>
      <c r="D32" s="38">
        <f t="shared" ref="D32:K32" si="18">D23+D31</f>
        <v>70529</v>
      </c>
      <c r="E32" s="38">
        <f t="shared" si="18"/>
        <v>71501</v>
      </c>
      <c r="F32" s="38">
        <f t="shared" si="18"/>
        <v>81801</v>
      </c>
      <c r="G32" s="38">
        <f t="shared" si="18"/>
        <v>0</v>
      </c>
      <c r="H32" s="38">
        <f t="shared" si="18"/>
        <v>0</v>
      </c>
      <c r="I32" s="38">
        <f t="shared" si="18"/>
        <v>0</v>
      </c>
      <c r="J32" s="38">
        <f t="shared" si="18"/>
        <v>0</v>
      </c>
      <c r="K32" s="38">
        <f t="shared" si="18"/>
        <v>0</v>
      </c>
      <c r="L32" s="38">
        <f t="shared" ref="L32:M32" si="19">L23+L31</f>
        <v>0</v>
      </c>
      <c r="M32" s="38">
        <f t="shared" si="19"/>
        <v>0</v>
      </c>
      <c r="N32" s="38"/>
      <c r="P32" s="17" t="s">
        <v>50</v>
      </c>
    </row>
    <row r="33" spans="3:23" x14ac:dyDescent="0.35">
      <c r="C33" s="41" t="s">
        <v>51</v>
      </c>
      <c r="D33" s="13">
        <v>4210</v>
      </c>
      <c r="E33" s="13">
        <v>4840</v>
      </c>
      <c r="F33" s="13">
        <v>5340</v>
      </c>
      <c r="G33" s="40">
        <f>F33*(1+G37)</f>
        <v>5340</v>
      </c>
      <c r="H33" s="40">
        <f>G33*(1+H37)</f>
        <v>5340</v>
      </c>
      <c r="I33" s="40">
        <f>H33*(1+I37)</f>
        <v>5340</v>
      </c>
      <c r="J33" s="40">
        <f>I33*(1+J37)</f>
        <v>5340</v>
      </c>
      <c r="K33" s="40">
        <f>J33*(1+K37)</f>
        <v>5340</v>
      </c>
      <c r="L33" s="40">
        <f t="shared" ref="L33:M33" si="20">K33*(1+L37)</f>
        <v>5340</v>
      </c>
      <c r="M33" s="40">
        <f t="shared" si="20"/>
        <v>5340</v>
      </c>
      <c r="N33" s="40"/>
      <c r="P33" t="s">
        <v>52</v>
      </c>
    </row>
    <row r="34" spans="3:23" x14ac:dyDescent="0.35">
      <c r="C34" s="42" t="s">
        <v>53</v>
      </c>
      <c r="D34" s="38">
        <f t="shared" ref="D34:K34" si="21">SUM(D32:D33)</f>
        <v>74739</v>
      </c>
      <c r="E34" s="38">
        <f t="shared" si="21"/>
        <v>76341</v>
      </c>
      <c r="F34" s="38">
        <f>SUM(F32:F33)</f>
        <v>87141</v>
      </c>
      <c r="G34" s="38">
        <f t="shared" si="21"/>
        <v>5340</v>
      </c>
      <c r="H34" s="38">
        <f t="shared" si="21"/>
        <v>5340</v>
      </c>
      <c r="I34" s="38">
        <f t="shared" si="21"/>
        <v>5340</v>
      </c>
      <c r="J34" s="38">
        <f t="shared" si="21"/>
        <v>5340</v>
      </c>
      <c r="K34" s="38">
        <f t="shared" si="21"/>
        <v>5340</v>
      </c>
      <c r="L34" s="38">
        <f t="shared" ref="L34:M34" si="22">SUM(L32:L33)</f>
        <v>5340</v>
      </c>
      <c r="M34" s="38">
        <f t="shared" si="22"/>
        <v>5340</v>
      </c>
      <c r="N34" s="38"/>
      <c r="P34" s="17" t="s">
        <v>54</v>
      </c>
    </row>
    <row r="35" spans="3:23" x14ac:dyDescent="0.35">
      <c r="C35" s="3"/>
      <c r="G35" s="43"/>
    </row>
    <row r="36" spans="3:23" x14ac:dyDescent="0.35">
      <c r="C36" s="2" t="s">
        <v>2</v>
      </c>
    </row>
    <row r="37" spans="3:23" x14ac:dyDescent="0.35">
      <c r="C37" s="3" t="s">
        <v>3</v>
      </c>
      <c r="D37" s="4"/>
      <c r="E37" s="4">
        <f>E18/D18-1</f>
        <v>6.304518199398057E-2</v>
      </c>
      <c r="F37" s="4">
        <f>F18/E18-1</f>
        <v>0.15861957650261305</v>
      </c>
      <c r="G37" s="4">
        <f t="shared" ref="G37:K40" si="23">G175</f>
        <v>0</v>
      </c>
      <c r="H37" s="4">
        <f t="shared" si="23"/>
        <v>0</v>
      </c>
      <c r="I37" s="4">
        <f t="shared" si="23"/>
        <v>0</v>
      </c>
      <c r="J37" s="4">
        <f t="shared" si="23"/>
        <v>0</v>
      </c>
      <c r="K37" s="4">
        <f t="shared" si="23"/>
        <v>0</v>
      </c>
      <c r="L37" s="4">
        <f t="shared" ref="L37:M37" si="24">L175</f>
        <v>0</v>
      </c>
      <c r="M37" s="4">
        <f t="shared" si="24"/>
        <v>0</v>
      </c>
      <c r="N37" s="4"/>
      <c r="P37" t="s">
        <v>55</v>
      </c>
      <c r="R37" s="5"/>
      <c r="S37" s="5"/>
      <c r="T37" s="5"/>
      <c r="U37" s="5"/>
      <c r="V37" s="5"/>
      <c r="W37" s="5"/>
    </row>
    <row r="38" spans="3:23" x14ac:dyDescent="0.35">
      <c r="C38" s="3" t="s">
        <v>4</v>
      </c>
      <c r="D38" s="4">
        <f>D20/D18</f>
        <v>0.39075955648097049</v>
      </c>
      <c r="E38" s="4">
        <f>E20/E18</f>
        <v>0.38469860491899105</v>
      </c>
      <c r="F38" s="4">
        <f>F20/F18</f>
        <v>0.38343718820007905</v>
      </c>
      <c r="G38" s="4">
        <f t="shared" si="23"/>
        <v>0</v>
      </c>
      <c r="H38" s="4">
        <f t="shared" si="23"/>
        <v>0</v>
      </c>
      <c r="I38" s="4">
        <f t="shared" si="23"/>
        <v>0</v>
      </c>
      <c r="J38" s="4">
        <f t="shared" si="23"/>
        <v>0</v>
      </c>
      <c r="K38" s="4">
        <f t="shared" si="23"/>
        <v>0</v>
      </c>
      <c r="L38" s="4">
        <f t="shared" ref="L38:M38" si="25">L176</f>
        <v>0</v>
      </c>
      <c r="M38" s="4">
        <f t="shared" si="25"/>
        <v>0</v>
      </c>
      <c r="N38" s="4"/>
      <c r="P38" t="s">
        <v>55</v>
      </c>
      <c r="R38" s="5"/>
      <c r="S38" s="5"/>
      <c r="T38" s="5"/>
      <c r="U38" s="5"/>
      <c r="V38" s="5"/>
      <c r="W38" s="5"/>
    </row>
    <row r="39" spans="3:23" x14ac:dyDescent="0.35">
      <c r="C39" s="3" t="s">
        <v>5</v>
      </c>
      <c r="D39" s="4">
        <f>-D21/D18</f>
        <v>4.6582482760539605E-2</v>
      </c>
      <c r="E39" s="4">
        <f>-E21/E18</f>
        <v>5.0520428906706681E-2</v>
      </c>
      <c r="F39" s="4">
        <f>-F21/F18</f>
        <v>5.3600406634161032E-2</v>
      </c>
      <c r="G39" s="4">
        <f t="shared" si="23"/>
        <v>0</v>
      </c>
      <c r="H39" s="4">
        <f t="shared" si="23"/>
        <v>0</v>
      </c>
      <c r="I39" s="4">
        <f t="shared" si="23"/>
        <v>0</v>
      </c>
      <c r="J39" s="4">
        <f t="shared" si="23"/>
        <v>0</v>
      </c>
      <c r="K39" s="4">
        <f t="shared" si="23"/>
        <v>0</v>
      </c>
      <c r="L39" s="4">
        <f t="shared" ref="L39:M39" si="26">L177</f>
        <v>0</v>
      </c>
      <c r="M39" s="4">
        <f t="shared" si="26"/>
        <v>0</v>
      </c>
      <c r="N39" s="4"/>
      <c r="P39" t="s">
        <v>55</v>
      </c>
      <c r="R39" s="5"/>
      <c r="S39" s="5"/>
      <c r="T39" s="5"/>
      <c r="U39" s="5"/>
      <c r="V39" s="5"/>
      <c r="W39" s="5"/>
    </row>
    <row r="40" spans="3:23" x14ac:dyDescent="0.35">
      <c r="C40" s="3" t="s">
        <v>6</v>
      </c>
      <c r="D40" s="4">
        <f>-D22/D18</f>
        <v>6.5822972653369755E-2</v>
      </c>
      <c r="E40" s="4">
        <f>-E22/E18</f>
        <v>6.6573893924984945E-2</v>
      </c>
      <c r="F40" s="4">
        <f>-F22/F18</f>
        <v>6.2896515371147807E-2</v>
      </c>
      <c r="G40" s="4">
        <f t="shared" si="23"/>
        <v>0</v>
      </c>
      <c r="H40" s="4">
        <f t="shared" si="23"/>
        <v>0</v>
      </c>
      <c r="I40" s="4">
        <f t="shared" si="23"/>
        <v>0</v>
      </c>
      <c r="J40" s="4">
        <f t="shared" si="23"/>
        <v>0</v>
      </c>
      <c r="K40" s="4">
        <f t="shared" si="23"/>
        <v>0</v>
      </c>
      <c r="L40" s="4">
        <f t="shared" ref="L40:M40" si="27">L178</f>
        <v>0</v>
      </c>
      <c r="M40" s="4">
        <f t="shared" si="27"/>
        <v>0</v>
      </c>
      <c r="N40" s="4"/>
      <c r="P40" t="s">
        <v>55</v>
      </c>
      <c r="R40" s="5"/>
      <c r="S40" s="5"/>
      <c r="T40" s="5"/>
      <c r="U40" s="5"/>
      <c r="V40" s="5"/>
      <c r="W40" s="5"/>
    </row>
    <row r="41" spans="3:23" x14ac:dyDescent="0.35">
      <c r="C41" s="3" t="s">
        <v>7</v>
      </c>
      <c r="D41" s="4">
        <f>-(D28/D27)</f>
        <v>0.25557257381216192</v>
      </c>
      <c r="E41" s="4">
        <f>-(E28/E27)</f>
        <v>0.24556476150353415</v>
      </c>
      <c r="F41" s="4">
        <f>-(F28/F27)</f>
        <v>0.18342180705869443</v>
      </c>
      <c r="G41" s="5">
        <v>0.16700000000000001</v>
      </c>
      <c r="H41" s="5">
        <v>0.17</v>
      </c>
      <c r="I41" s="5">
        <v>0.16900000000000001</v>
      </c>
      <c r="J41" s="4">
        <f>I41</f>
        <v>0.16900000000000001</v>
      </c>
      <c r="K41" s="4">
        <f>J41</f>
        <v>0.16900000000000001</v>
      </c>
      <c r="L41" s="4">
        <f t="shared" ref="L41:M41" si="28">K41</f>
        <v>0.16900000000000001</v>
      </c>
      <c r="M41" s="4">
        <f t="shared" si="28"/>
        <v>0.16900000000000001</v>
      </c>
      <c r="N41" s="4"/>
      <c r="P41" t="s">
        <v>56</v>
      </c>
      <c r="R41" s="5"/>
      <c r="S41" s="5"/>
      <c r="T41" s="5"/>
      <c r="U41" s="5"/>
      <c r="V41" s="5"/>
      <c r="W41" s="5"/>
    </row>
    <row r="42" spans="3:23" x14ac:dyDescent="0.35">
      <c r="C42" s="3"/>
      <c r="G42" s="43"/>
    </row>
  </sheetData>
  <conditionalFormatting sqref="C40">
    <cfRule type="expression" dxfId="0" priority="1">
      <formula>#REF!=$C40</formula>
    </cfRule>
  </conditionalFormatting>
  <dataValidations count="3">
    <dataValidation type="list" allowBlank="1" showInputMessage="1" showErrorMessage="1" sqref="C3" xr:uid="{289EF65C-7812-4066-8344-5A674129D9F2}">
      <formula1>"$ bns except per share, $ mm except per share,$ in thousands except per share"</formula1>
    </dataValidation>
    <dataValidation type="list" allowBlank="1" showInputMessage="1" showErrorMessage="1" sqref="D10" xr:uid="{3D39C196-8954-4638-BD89-D6B36741E3FD}">
      <formula1>$C$181:$C$183</formula1>
    </dataValidation>
    <dataValidation type="list" allowBlank="1" showInputMessage="1" showErrorMessage="1" sqref="D7" xr:uid="{49857410-4AB2-42C1-B5EC-C2D459C43203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63A2-6113-4DD9-B890-BB90A9293EFE}">
  <dimension ref="B7:P19"/>
  <sheetViews>
    <sheetView topLeftCell="A3" workbookViewId="0">
      <selection activeCell="A18" sqref="A18"/>
    </sheetView>
  </sheetViews>
  <sheetFormatPr defaultRowHeight="14.5" x14ac:dyDescent="0.35"/>
  <cols>
    <col min="2" max="2" width="9.453125" bestFit="1" customWidth="1"/>
    <col min="4" max="4" width="14.26953125" bestFit="1" customWidth="1"/>
    <col min="7" max="7" width="10.81640625" bestFit="1" customWidth="1"/>
    <col min="8" max="9" width="10.81640625" customWidth="1"/>
    <col min="11" max="11" width="9.81640625" bestFit="1" customWidth="1"/>
    <col min="13" max="13" width="15.81640625" bestFit="1" customWidth="1"/>
  </cols>
  <sheetData>
    <row r="7" spans="2:16" x14ac:dyDescent="0.35">
      <c r="B7" s="104" t="s">
        <v>288</v>
      </c>
    </row>
    <row r="9" spans="2:16" x14ac:dyDescent="0.35">
      <c r="C9" t="s">
        <v>14</v>
      </c>
      <c r="D9" t="s">
        <v>285</v>
      </c>
      <c r="E9" t="s">
        <v>286</v>
      </c>
      <c r="F9" t="s">
        <v>287</v>
      </c>
      <c r="G9" t="s">
        <v>289</v>
      </c>
      <c r="H9" t="s">
        <v>290</v>
      </c>
      <c r="J9" t="s">
        <v>278</v>
      </c>
      <c r="K9" t="s">
        <v>49</v>
      </c>
      <c r="L9" t="s">
        <v>212</v>
      </c>
      <c r="N9" t="s">
        <v>291</v>
      </c>
      <c r="O9" t="s">
        <v>292</v>
      </c>
      <c r="P9" t="s">
        <v>293</v>
      </c>
    </row>
    <row r="10" spans="2:16" x14ac:dyDescent="0.35">
      <c r="B10" t="s">
        <v>267</v>
      </c>
      <c r="C10" t="s">
        <v>274</v>
      </c>
      <c r="D10" s="103" cm="1">
        <f t="array" ref="D10">_xll.PBF($C10,"Close Price",$B$7,"16-Jul-2025","","USD","","")</f>
        <v>33.698399268149998</v>
      </c>
      <c r="E10" s="103" cm="1">
        <f t="array" ref="E10">_xll.PBF($C10,"Common Shares Outstanding",$B$7,"16-Jul-2025","","USD","","")/10^6</f>
        <v>474.73611399999999</v>
      </c>
      <c r="F10" s="103">
        <f>D10*E10</f>
        <v>15997.847116581974</v>
      </c>
      <c r="G10" s="103" cm="1">
        <f t="array" ref="G10">_xll.PBF($C10,"Net Debt",$B$7,"16-Jul-2025","","USD","","")/10^6</f>
        <v>2733.3869017959996</v>
      </c>
      <c r="H10" s="103">
        <f>G10+F10</f>
        <v>18731.234018377974</v>
      </c>
      <c r="I10" s="103"/>
      <c r="J10" s="99" cm="1">
        <f t="array" ref="J10">_xll.PBF($C10,"Total Revenue","FQ","16-Jul-2025","","USD","","")/10^6</f>
        <v>1298.2569933304001</v>
      </c>
      <c r="K10" s="99" cm="1">
        <f t="array" ref="K10">_xll.PBF($C10,"EBITDA",$B$7,"16-Jul-2025","","USD","","")/10^6</f>
        <v>206.85132285799997</v>
      </c>
      <c r="L10" s="99" cm="1">
        <f t="array" ref="L10">_xll.PBF($C10,"Net Income (Normalized)",$B$7,"16-Jul-2025","","USD","","")/10^6</f>
        <v>77.069953756000004</v>
      </c>
      <c r="N10" s="105">
        <f t="shared" ref="N10:N19" si="0">$H10/J10</f>
        <v>14.427986226615278</v>
      </c>
      <c r="O10" s="105">
        <f>$H10/K10</f>
        <v>90.554093440517462</v>
      </c>
    </row>
    <row r="11" spans="2:16" x14ac:dyDescent="0.35">
      <c r="B11" t="s">
        <v>268</v>
      </c>
      <c r="C11" t="s">
        <v>275</v>
      </c>
      <c r="D11" s="103" cm="1">
        <f t="array" ref="D11">_xll.PBF($C11,"Close Price",$B$7,"16-Jul-2025","","USD","","")</f>
        <v>2.7850000000000001</v>
      </c>
      <c r="E11" s="103" t="e" cm="1">
        <f t="array" ref="E11">_xll.PBF($C11,"Common Shares Outstanding",$B$7,"16-Jul-2025","","USD","","")/10^6</f>
        <v>#N/A</v>
      </c>
      <c r="F11" s="103" t="e">
        <f t="shared" ref="F11:F19" si="1">D11*E11</f>
        <v>#N/A</v>
      </c>
      <c r="G11" s="103" t="e" cm="1">
        <f t="array" ref="G11">_xll.PBF($C11,"Net Debt",$B$7,"16-Jul-2025","","USD","","")/10^6</f>
        <v>#N/A</v>
      </c>
      <c r="H11" s="103" t="e">
        <f t="shared" ref="H11:H19" si="2">G11+F11</f>
        <v>#N/A</v>
      </c>
      <c r="I11" s="103"/>
      <c r="J11" s="99" t="e" cm="1">
        <f t="array" ref="J11">_xll.PBF($C11,"Total Revenue","FQ","16-Jul-2025","","USD","","")/10^6</f>
        <v>#N/A</v>
      </c>
      <c r="K11" s="99" t="e" cm="1">
        <f t="array" ref="K11">_xll.PBF($C11,"EBITDA",$B$7,"16-Jul-2025","","USD","","")/10^6</f>
        <v>#N/A</v>
      </c>
      <c r="L11" s="99" t="e" cm="1">
        <f t="array" ref="L11">_xll.PBF($C11,"Net Income (Normalized)",$B$7,"16-Jul-2025","","USD","","")/10^6</f>
        <v>#N/A</v>
      </c>
      <c r="N11" s="105" t="e">
        <f t="shared" si="0"/>
        <v>#N/A</v>
      </c>
      <c r="O11" s="105" t="e">
        <f t="shared" ref="O11:O19" si="3">$H11/K11</f>
        <v>#N/A</v>
      </c>
    </row>
    <row r="12" spans="2:16" x14ac:dyDescent="0.35">
      <c r="B12" t="s">
        <v>269</v>
      </c>
      <c r="C12" t="s">
        <v>276</v>
      </c>
      <c r="D12" s="103" cm="1">
        <f t="array" ref="D12">_xll.PBF($C12,"Close Price",$B$7,"16-Jul-2025","","USD","","")</f>
        <v>109.11890628072001</v>
      </c>
      <c r="E12" s="103" cm="1">
        <f t="array" ref="E12">_xll.PBF($C12,"Common Shares Outstanding",$B$7,"16-Jul-2025","","USD","","")/10^6</f>
        <v>501.29526299999998</v>
      </c>
      <c r="F12" s="103">
        <f t="shared" si="1"/>
        <v>54700.790822265888</v>
      </c>
      <c r="G12" s="103" cm="1">
        <f t="array" ref="G12">_xll.PBF($C12,"Net Debt",$B$7,"16-Jul-2025","","USD","","")/10^6</f>
        <v>136068.749774286</v>
      </c>
      <c r="H12" s="103">
        <f t="shared" si="2"/>
        <v>190769.5405965519</v>
      </c>
      <c r="I12" s="103"/>
      <c r="J12" s="99" cm="1">
        <f t="array" ref="J12">_xll.PBF($C12,"Total Revenue","FQ","16-Jul-2025","","USD","","")/10^6</f>
        <v>81572.360102982013</v>
      </c>
      <c r="K12" s="99" cm="1">
        <f t="array" ref="K12">_xll.PBF($C12,"EBITDA",$B$7,"16-Jul-2025","","USD","","")/10^6</f>
        <v>11349.389985318001</v>
      </c>
      <c r="L12" s="99" cm="1">
        <f t="array" ref="L12">_xll.PBF($C12,"Net Income (Normalized)",$B$7,"16-Jul-2025","","USD","","")/10^6</f>
        <v>2594.9179525234013</v>
      </c>
      <c r="N12" s="105">
        <f t="shared" si="0"/>
        <v>2.3386541759452908</v>
      </c>
      <c r="O12" s="105">
        <f t="shared" si="3"/>
        <v>16.80879244112138</v>
      </c>
    </row>
    <row r="13" spans="2:16" x14ac:dyDescent="0.35">
      <c r="B13" t="s">
        <v>270</v>
      </c>
      <c r="C13" t="s">
        <v>277</v>
      </c>
      <c r="D13" s="103" cm="1">
        <f t="array" ref="D13">_xll.PBF($C13,"Close Price",$B$7,"16-Jul-2025","","USD","","")</f>
        <v>0.64600000000000002</v>
      </c>
      <c r="E13" s="103" cm="1">
        <f t="array" ref="E13">_xll.PBF($C13,"Common Shares Outstanding",$B$7,"16-Jul-2025","","USD","","")/10^6</f>
        <v>30.866613999999998</v>
      </c>
      <c r="F13" s="103">
        <f t="shared" si="1"/>
        <v>19.939832643999999</v>
      </c>
      <c r="G13" s="103" cm="1">
        <f t="array" ref="G13">_xll.PBF($C13,"Net Debt",$B$7,"16-Jul-2025","","USD","","")/10^6</f>
        <v>13.606323</v>
      </c>
      <c r="H13" s="103">
        <f t="shared" si="2"/>
        <v>33.546155643999995</v>
      </c>
      <c r="I13" s="103"/>
      <c r="J13" s="99" cm="1">
        <f t="array" ref="J13">_xll.PBF($C13,"Total Revenue","FQ","16-Jul-2025","","USD","","")/10^6</f>
        <v>2.1430579999999999</v>
      </c>
      <c r="K13" s="99" cm="1">
        <f t="array" ref="K13">_xll.PBF($C13,"EBITDA",$B$7,"16-Jul-2025","","USD","","")/10^6</f>
        <v>-4.7049099999999999</v>
      </c>
      <c r="L13" s="99" cm="1">
        <f t="array" ref="L13">_xll.PBF($C13,"Net Income (Normalized)",$B$7,"16-Jul-2025","","USD","","")/10^6</f>
        <v>-5.6164366471234386</v>
      </c>
      <c r="N13" s="105">
        <f t="shared" si="0"/>
        <v>15.65340538800163</v>
      </c>
      <c r="O13" s="105">
        <f t="shared" si="3"/>
        <v>-7.1300313170708884</v>
      </c>
    </row>
    <row r="14" spans="2:16" x14ac:dyDescent="0.35">
      <c r="B14" t="s">
        <v>271</v>
      </c>
      <c r="C14" t="s">
        <v>279</v>
      </c>
      <c r="D14" s="103" cm="1">
        <f t="array" ref="D14">_xll.PBF($C14,"Close Price",$B$7,"16-Jul-2025","","USD","","")</f>
        <v>0.1114</v>
      </c>
      <c r="E14" s="103" cm="1">
        <f t="array" ref="E14">_xll.PBF($C14,"Common Shares Outstanding",$B$7,"16-Jul-2025","","USD","","")/10^6</f>
        <v>1.0205000000000001E-2</v>
      </c>
      <c r="F14" s="103">
        <f t="shared" si="1"/>
        <v>1.1368370000000001E-3</v>
      </c>
      <c r="G14" s="103" cm="1">
        <f t="array" ref="G14">_xll.PBF($C14,"Net Debt",$B$7,"16-Jul-2025","","USD","","")/10^6</f>
        <v>23.775417999999998</v>
      </c>
      <c r="H14" s="103">
        <f t="shared" si="2"/>
        <v>23.776554836999999</v>
      </c>
      <c r="I14" s="103"/>
      <c r="J14" s="99" cm="1">
        <f t="array" ref="J14">_xll.PBF($C14,"Total Revenue","FQ","16-Jul-2025","","USD","","")/10^6</f>
        <v>4.9501400000000002</v>
      </c>
      <c r="K14" s="99" cm="1">
        <f t="array" ref="K14">_xll.PBF($C14,"EBITDA",$B$7,"16-Jul-2025","","USD","","")/10^6</f>
        <v>-41.553772000000002</v>
      </c>
      <c r="L14" s="99" cm="1">
        <f t="array" ref="L14">_xll.PBF($C14,"Net Income (Normalized)",$B$7,"16-Jul-2025","","USD","","")/10^6</f>
        <v>-40.99152522</v>
      </c>
      <c r="N14" s="105">
        <f t="shared" si="0"/>
        <v>4.8032085631921522</v>
      </c>
      <c r="O14" s="105">
        <f t="shared" si="3"/>
        <v>-0.57218764248405651</v>
      </c>
    </row>
    <row r="15" spans="2:16" x14ac:dyDescent="0.35">
      <c r="B15" t="s">
        <v>264</v>
      </c>
      <c r="C15" t="s">
        <v>280</v>
      </c>
      <c r="D15" s="103" cm="1">
        <f t="array" ref="D15">_xll.PBF($C15,"Close Price",$B$7,"16-Jul-2025","","USD","","")</f>
        <v>45.129720709080004</v>
      </c>
      <c r="E15" s="103" cm="1">
        <f t="array" ref="E15">_xll.PBF($C15,"Common Shares Outstanding",$B$7,"16-Jul-2025","","USD","","")/10^6</f>
        <v>5494.6658550000002</v>
      </c>
      <c r="F15" s="103">
        <f t="shared" si="1"/>
        <v>247972.7354258683</v>
      </c>
      <c r="G15" s="103" cm="1">
        <f t="array" ref="G15">_xll.PBF($C15,"Net Debt",$B$7,"16-Jul-2025","","USD","","")/10^6</f>
        <v>-15455.131371734185</v>
      </c>
      <c r="H15" s="103">
        <f t="shared" si="2"/>
        <v>232517.60405413411</v>
      </c>
      <c r="I15" s="103"/>
      <c r="J15" s="99" cm="1">
        <f t="array" ref="J15">_xll.PBF($C15,"Total Revenue","FQ","16-Jul-2025","","USD","","")/10^6</f>
        <v>23415.730966177922</v>
      </c>
      <c r="K15" s="99" cm="1">
        <f t="array" ref="K15">_xll.PBF($C15,"EBITDA",$B$7,"16-Jul-2025","","USD","","")/10^6</f>
        <v>1541.9461576171948</v>
      </c>
      <c r="L15" s="99" cm="1">
        <f t="array" ref="L15">_xll.PBF($C15,"Net Income (Normalized)",$B$7,"16-Jul-2025","","USD","","")/10^6</f>
        <v>1123.1751362144551</v>
      </c>
      <c r="N15" s="105">
        <f t="shared" si="0"/>
        <v>9.9299741865836459</v>
      </c>
      <c r="O15" s="105">
        <f t="shared" si="3"/>
        <v>150.79489183555472</v>
      </c>
    </row>
    <row r="16" spans="2:16" x14ac:dyDescent="0.35">
      <c r="B16" t="s">
        <v>265</v>
      </c>
      <c r="C16" t="s">
        <v>281</v>
      </c>
      <c r="D16" s="103" cm="1">
        <f t="array" ref="D16">_xll.PBF($C16,"Close Price",$B$7,"16-Jul-2025","","USD","","")</f>
        <v>1.45</v>
      </c>
      <c r="E16" s="103" cm="1">
        <f t="array" ref="E16">_xll.PBF($C16,"Common Shares Outstanding",$B$7,"16-Jul-2025","","USD","","")/10^6</f>
        <v>16.096295999999999</v>
      </c>
      <c r="F16" s="103">
        <f t="shared" si="1"/>
        <v>23.339629199999997</v>
      </c>
      <c r="G16" s="103" cm="1">
        <f t="array" ref="G16">_xll.PBF($C16,"Net Debt",$B$7,"16-Jul-2025","","USD","","")/10^6</f>
        <v>-28.04</v>
      </c>
      <c r="H16" s="103">
        <f t="shared" si="2"/>
        <v>-4.7003708000000017</v>
      </c>
      <c r="I16" s="103"/>
      <c r="J16" s="99" cm="1">
        <f t="array" ref="J16">_xll.PBF($C16,"Total Revenue","FQ","16-Jul-2025","","USD","","")/10^6</f>
        <v>0</v>
      </c>
      <c r="K16" s="99" cm="1">
        <f t="array" ref="K16">_xll.PBF($C16,"EBITDA",$B$7,"16-Jul-2025","","USD","","")/10^6</f>
        <v>-1.2110000000000001</v>
      </c>
      <c r="L16" s="99" cm="1">
        <f t="array" ref="L16">_xll.PBF($C16,"Net Income (Normalized)",$B$7,"16-Jul-2025","","USD","","")/10^6</f>
        <v>-1.504</v>
      </c>
      <c r="N16" s="105" t="e">
        <f t="shared" si="0"/>
        <v>#DIV/0!</v>
      </c>
      <c r="O16" s="105">
        <f t="shared" si="3"/>
        <v>3.8813962014863761</v>
      </c>
    </row>
    <row r="17" spans="2:15" x14ac:dyDescent="0.35">
      <c r="B17" t="s">
        <v>266</v>
      </c>
      <c r="C17" t="s">
        <v>282</v>
      </c>
      <c r="D17" s="103" cm="1">
        <f t="array" ref="D17">_xll.PBF($C17,"Close Price",$B$7,"16-Jul-2025","","USD","","")</f>
        <v>4.93</v>
      </c>
      <c r="E17" s="103" t="e" cm="1">
        <f t="array" ref="E17">_xll.PBF($C17,"Common Shares Outstanding",$B$7,"16-Jul-2025","","USD","","")/10^6</f>
        <v>#N/A</v>
      </c>
      <c r="F17" s="103" t="e">
        <f t="shared" si="1"/>
        <v>#N/A</v>
      </c>
      <c r="G17" s="103" t="e" cm="1">
        <f t="array" ref="G17">_xll.PBF($C17,"Net Debt",$B$7,"16-Jul-2025","","USD","","")/10^6</f>
        <v>#N/A</v>
      </c>
      <c r="H17" s="103" t="e">
        <f t="shared" si="2"/>
        <v>#N/A</v>
      </c>
      <c r="I17" s="103"/>
      <c r="J17" s="99" t="e" cm="1">
        <f t="array" ref="J17">_xll.PBF($C17,"Total Revenue","FQ","16-Jul-2025","","USD","","")/10^6</f>
        <v>#N/A</v>
      </c>
      <c r="K17" s="99" t="e" cm="1">
        <f t="array" ref="K17">_xll.PBF($C17,"EBITDA",$B$7,"16-Jul-2025","","USD","","")/10^6</f>
        <v>#N/A</v>
      </c>
      <c r="L17" s="99" t="e" cm="1">
        <f t="array" ref="L17">_xll.PBF($C17,"Net Income (Normalized)",$B$7,"16-Jul-2025","","USD","","")/10^6</f>
        <v>#N/A</v>
      </c>
      <c r="N17" s="105" t="e">
        <f t="shared" si="0"/>
        <v>#N/A</v>
      </c>
      <c r="O17" s="105" t="e">
        <f t="shared" si="3"/>
        <v>#N/A</v>
      </c>
    </row>
    <row r="18" spans="2:15" x14ac:dyDescent="0.35">
      <c r="B18" t="s">
        <v>272</v>
      </c>
      <c r="C18" t="s">
        <v>283</v>
      </c>
      <c r="D18" s="103" cm="1">
        <f t="array" ref="D18">_xll.PBF($C18,"Close Price",$B$7,"16-Jul-2025","","USD","","")</f>
        <v>6.8400000000000002E-2</v>
      </c>
      <c r="E18" s="103" t="e" cm="1">
        <f t="array" ref="E18">_xll.PBF($C18,"Common Shares Outstanding",$B$7,"16-Jul-2025","","USD","","")/10^6</f>
        <v>#N/A</v>
      </c>
      <c r="F18" s="103" t="e">
        <f t="shared" si="1"/>
        <v>#N/A</v>
      </c>
      <c r="G18" s="103" t="e" cm="1">
        <f t="array" ref="G18">_xll.PBF($C18,"Net Debt",$B$7,"16-Jul-2025","","USD","","")/10^6</f>
        <v>#N/A</v>
      </c>
      <c r="H18" s="103" t="e">
        <f t="shared" si="2"/>
        <v>#N/A</v>
      </c>
      <c r="I18" s="103"/>
      <c r="J18" s="99" t="e" cm="1">
        <f t="array" ref="J18">_xll.PBF($C18,"Total Revenue","FQ","16-Jul-2025","","USD","","")/10^6</f>
        <v>#N/A</v>
      </c>
      <c r="K18" s="99" t="e" cm="1">
        <f t="array" ref="K18">_xll.PBF($C18,"EBITDA",$B$7,"16-Jul-2025","","USD","","")/10^6</f>
        <v>#N/A</v>
      </c>
      <c r="L18" s="99" t="e" cm="1">
        <f t="array" ref="L18">_xll.PBF($C18,"Net Income (Normalized)",$B$7,"16-Jul-2025","","USD","","")/10^6</f>
        <v>#N/A</v>
      </c>
      <c r="N18" s="105" t="e">
        <f t="shared" si="0"/>
        <v>#N/A</v>
      </c>
      <c r="O18" s="105" t="e">
        <f t="shared" si="3"/>
        <v>#N/A</v>
      </c>
    </row>
    <row r="19" spans="2:15" x14ac:dyDescent="0.35">
      <c r="B19" t="s">
        <v>273</v>
      </c>
      <c r="C19" t="s">
        <v>284</v>
      </c>
      <c r="D19" s="103" cm="1">
        <f t="array" ref="D19">_xll.PBF($C19,"Close Price",$B$7,"16-Jul-2025","","USD","","")</f>
        <v>0.32919999999999999</v>
      </c>
      <c r="E19" s="103" cm="1">
        <f t="array" ref="E19">_xll.PBF($C19,"Common Shares Outstanding",$B$7,"16-Jul-2025","","USD","","")/10^6</f>
        <v>295.35348900000002</v>
      </c>
      <c r="F19" s="103">
        <f t="shared" si="1"/>
        <v>97.230368578800011</v>
      </c>
      <c r="G19" s="103" cm="1">
        <f t="array" ref="G19">_xll.PBF($C19,"Net Debt",$B$7,"16-Jul-2025","","USD","","")/10^6</f>
        <v>317.137</v>
      </c>
      <c r="H19" s="103">
        <f t="shared" si="2"/>
        <v>414.36736857879998</v>
      </c>
      <c r="I19" s="103"/>
      <c r="J19" s="99" cm="1">
        <f t="array" ref="J19">_xll.PBF($C19,"Total Revenue","FQ","16-Jul-2025","","USD","","")/10^6</f>
        <v>63.621000000000002</v>
      </c>
      <c r="K19" s="99" cm="1">
        <f t="array" ref="K19">_xll.PBF($C19,"EBITDA",$B$7,"16-Jul-2025","","USD","","")/10^6</f>
        <v>6.673</v>
      </c>
      <c r="L19" s="99" cm="1">
        <f t="array" ref="L19">_xll.PBF($C19,"Net Income (Normalized)",$B$7,"16-Jul-2025","","USD","","")/10^6</f>
        <v>-10.914999999999999</v>
      </c>
      <c r="N19" s="105">
        <f t="shared" si="0"/>
        <v>6.5130596592131527</v>
      </c>
      <c r="O19" s="105">
        <f t="shared" si="3"/>
        <v>62.09611397854038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ChargeHelp Example</vt:lpstr>
      <vt:lpstr>Price</vt:lpstr>
      <vt:lpstr>Aid</vt:lpstr>
      <vt:lpstr>RevnueDrivers&gt;&gt;</vt:lpstr>
      <vt:lpstr>Head Count</vt:lpstr>
      <vt:lpstr>GrowthForecast</vt:lpstr>
      <vt:lpstr>ChurnMatrix</vt:lpstr>
      <vt:lpstr>ModelDrivers</vt:lpstr>
      <vt:lpstr>P&amp;Lv2</vt:lpstr>
      <vt:lpstr>P&amp;L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Afolabi Isiaka</dc:creator>
  <cp:lastModifiedBy>Afolabi Isiaka</cp:lastModifiedBy>
  <dcterms:created xsi:type="dcterms:W3CDTF">2015-06-05T18:17:20Z</dcterms:created>
  <dcterms:modified xsi:type="dcterms:W3CDTF">2025-07-17T22:31:56Z</dcterms:modified>
</cp:coreProperties>
</file>