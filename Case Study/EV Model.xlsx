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eipny-my.sharepoint.com/personal/isiaka_energyimpactpartners_com/Documents/Training/Financial Modelling/Case Study/"/>
    </mc:Choice>
  </mc:AlternateContent>
  <xr:revisionPtr revIDLastSave="1763" documentId="11_F25DC773A252ABDACC104857319F7B025ADE58ED" xr6:coauthVersionLast="47" xr6:coauthVersionMax="47" xr10:uidLastSave="{76796400-FAF8-41E8-9DB9-76EDF9C017D9}"/>
  <bookViews>
    <workbookView xWindow="-110" yWindow="-110" windowWidth="19420" windowHeight="11500" firstSheet="4" activeTab="6" xr2:uid="{00000000-000D-0000-FFFF-FFFF00000000}"/>
  </bookViews>
  <sheets>
    <sheet name="ChargeHelp Example" sheetId="9" r:id="rId1"/>
    <sheet name="Price" sheetId="1" r:id="rId2"/>
    <sheet name="Aid" sheetId="2" r:id="rId3"/>
    <sheet name="RevnueDrivers&gt;&gt;" sheetId="7" r:id="rId4"/>
    <sheet name="ChurnMatrix" sheetId="5" r:id="rId5"/>
    <sheet name="Head Count" sheetId="6" r:id="rId6"/>
    <sheet name="GrowthForecast" sheetId="3" r:id="rId7"/>
    <sheet name="Sheet6" sheetId="11" r:id="rId8"/>
    <sheet name="Cost&gt;&gt;&gt;" sheetId="8" r:id="rId9"/>
    <sheet name="P&amp;L" sheetId="4" r:id="rId10"/>
  </sheets>
  <externalReferences>
    <externalReference r:id="rId11"/>
  </externalReferences>
  <definedNames>
    <definedName name="Burn">[1]Projections!$E$63</definedName>
    <definedName name="Conversion1">[1]Projections!$D$18</definedName>
    <definedName name="Conversion2">[1]Projections!$D$19</definedName>
    <definedName name="Conversion3">[1]Projections!$D$20</definedName>
    <definedName name="CostPerUser">[1]Projections!$D$55</definedName>
    <definedName name="Price1">[1]Projections!$D$25</definedName>
    <definedName name="Price2">[1]Projections!$D$26</definedName>
    <definedName name="Price3">[1]Projections!$D$27</definedName>
    <definedName name="PricePSF">[1]Projections!$D$54</definedName>
    <definedName name="SFpp">[1]Projections!$D$53</definedName>
  </definedNames>
  <calcPr calcId="191029" iterate="1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11" l="1"/>
  <c r="N34" i="11"/>
  <c r="E9" i="11"/>
  <c r="E8" i="11"/>
  <c r="E6" i="11"/>
  <c r="E11" i="11"/>
  <c r="E10" i="11"/>
  <c r="E7" i="11"/>
  <c r="E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O37" i="3"/>
  <c r="N37" i="3"/>
  <c r="J1" i="6"/>
  <c r="C12" i="11"/>
  <c r="F27" i="3"/>
  <c r="E27" i="3"/>
  <c r="D27" i="3"/>
  <c r="K12" i="11"/>
  <c r="C34" i="11" s="1"/>
  <c r="E4" i="11"/>
  <c r="G27" i="3"/>
  <c r="G28" i="3" s="1"/>
  <c r="D33" i="3"/>
  <c r="E33" i="3" s="1"/>
  <c r="E18" i="3"/>
  <c r="F18" i="3" s="1"/>
  <c r="G18" i="3" s="1"/>
  <c r="H18" i="3" s="1"/>
  <c r="I18" i="3" s="1"/>
  <c r="E12" i="11" l="1"/>
  <c r="C36" i="11" s="1"/>
  <c r="C37" i="11"/>
  <c r="D37" i="11" s="1"/>
  <c r="E37" i="11" s="1"/>
  <c r="F37" i="11" s="1"/>
  <c r="G37" i="11" s="1"/>
  <c r="H37" i="11" s="1"/>
  <c r="I37" i="11" s="1"/>
  <c r="J37" i="11" s="1"/>
  <c r="K37" i="11" s="1"/>
  <c r="L37" i="11" s="1"/>
  <c r="M37" i="11" s="1"/>
  <c r="N37" i="11" s="1"/>
  <c r="K1" i="6"/>
  <c r="H27" i="3"/>
  <c r="I27" i="3" s="1"/>
  <c r="J27" i="3" s="1"/>
  <c r="K27" i="3" s="1"/>
  <c r="L27" i="3" s="1"/>
  <c r="M27" i="3" s="1"/>
  <c r="N27" i="3" s="1"/>
  <c r="F33" i="3"/>
  <c r="G33" i="3" s="1"/>
  <c r="H33" i="3" s="1"/>
  <c r="I33" i="3" s="1"/>
  <c r="J33" i="3" s="1"/>
  <c r="K33" i="3" s="1"/>
  <c r="L33" i="3" s="1"/>
  <c r="M33" i="3" s="1"/>
  <c r="N33" i="3" s="1"/>
  <c r="O33" i="3" s="1"/>
  <c r="N28" i="3" l="1"/>
  <c r="O27" i="3"/>
  <c r="C38" i="11"/>
  <c r="L1" i="6"/>
  <c r="O28" i="3" l="1"/>
  <c r="M1" i="6"/>
  <c r="N1" i="6" l="1"/>
  <c r="O1" i="6" l="1"/>
  <c r="P1" i="6" l="1"/>
  <c r="Q1" i="6" l="1"/>
  <c r="R1" i="6" l="1"/>
  <c r="S1" i="6" l="1"/>
  <c r="T1" i="6" l="1"/>
  <c r="U1" i="6" l="1"/>
  <c r="V1" i="6" l="1"/>
  <c r="H27" i="6" l="1"/>
  <c r="F23" i="6"/>
  <c r="B23" i="6"/>
  <c r="H20" i="6"/>
  <c r="I20" i="6" s="1"/>
  <c r="J20" i="6" s="1"/>
  <c r="E98" i="9"/>
  <c r="E99" i="9" s="1"/>
  <c r="D98" i="9"/>
  <c r="D99" i="9" s="1"/>
  <c r="C98" i="9"/>
  <c r="C99" i="9" s="1"/>
  <c r="G97" i="9"/>
  <c r="F97" i="9"/>
  <c r="E97" i="9"/>
  <c r="D97" i="9"/>
  <c r="H97" i="9" s="1"/>
  <c r="G96" i="9"/>
  <c r="G98" i="9" s="1"/>
  <c r="G99" i="9" s="1"/>
  <c r="F96" i="9"/>
  <c r="H96" i="9" s="1"/>
  <c r="E96" i="9"/>
  <c r="D96" i="9"/>
  <c r="C96" i="9"/>
  <c r="B96" i="9"/>
  <c r="B98" i="9" s="1"/>
  <c r="G92" i="9"/>
  <c r="H92" i="9" s="1"/>
  <c r="D92" i="9"/>
  <c r="D91" i="9"/>
  <c r="H91" i="9" s="1"/>
  <c r="E90" i="9"/>
  <c r="D90" i="9"/>
  <c r="C90" i="9"/>
  <c r="B90" i="9"/>
  <c r="H90" i="9" s="1"/>
  <c r="H89" i="9"/>
  <c r="G89" i="9"/>
  <c r="E89" i="9"/>
  <c r="D89" i="9"/>
  <c r="B89" i="9"/>
  <c r="G88" i="9"/>
  <c r="G90" i="9" s="1"/>
  <c r="F88" i="9"/>
  <c r="F90" i="9" s="1"/>
  <c r="D88" i="9"/>
  <c r="C88" i="9"/>
  <c r="H88" i="9" s="1"/>
  <c r="B88" i="9"/>
  <c r="G87" i="9"/>
  <c r="F87" i="9"/>
  <c r="E87" i="9"/>
  <c r="D87" i="9"/>
  <c r="C87" i="9"/>
  <c r="B87" i="9"/>
  <c r="H87" i="9" s="1"/>
  <c r="G86" i="9"/>
  <c r="F86" i="9"/>
  <c r="B85" i="9"/>
  <c r="H85" i="9" s="1"/>
  <c r="B84" i="9"/>
  <c r="H84" i="9" s="1"/>
  <c r="H83" i="9"/>
  <c r="G83" i="9"/>
  <c r="F83" i="9"/>
  <c r="E83" i="9"/>
  <c r="D83" i="9"/>
  <c r="C83" i="9"/>
  <c r="B83" i="9"/>
  <c r="G82" i="9"/>
  <c r="F82" i="9"/>
  <c r="E82" i="9"/>
  <c r="D82" i="9"/>
  <c r="H82" i="9" s="1"/>
  <c r="C82" i="9"/>
  <c r="B82" i="9"/>
  <c r="G81" i="9"/>
  <c r="F81" i="9"/>
  <c r="E81" i="9"/>
  <c r="E86" i="9" s="1"/>
  <c r="D81" i="9"/>
  <c r="D86" i="9" s="1"/>
  <c r="C81" i="9"/>
  <c r="C86" i="9" s="1"/>
  <c r="B81" i="9"/>
  <c r="H81" i="9" s="1"/>
  <c r="G79" i="9"/>
  <c r="F79" i="9"/>
  <c r="E79" i="9"/>
  <c r="H79" i="9" s="1"/>
  <c r="D79" i="9"/>
  <c r="C79" i="9"/>
  <c r="B79" i="9"/>
  <c r="G78" i="9"/>
  <c r="F78" i="9"/>
  <c r="E78" i="9"/>
  <c r="D78" i="9"/>
  <c r="C78" i="9"/>
  <c r="H78" i="9" s="1"/>
  <c r="B78" i="9"/>
  <c r="G77" i="9"/>
  <c r="F77" i="9"/>
  <c r="E77" i="9"/>
  <c r="D77" i="9"/>
  <c r="C77" i="9"/>
  <c r="C80" i="9" s="1"/>
  <c r="B77" i="9"/>
  <c r="H77" i="9" s="1"/>
  <c r="G76" i="9"/>
  <c r="F76" i="9"/>
  <c r="E76" i="9"/>
  <c r="D76" i="9"/>
  <c r="C76" i="9"/>
  <c r="B76" i="9"/>
  <c r="G75" i="9"/>
  <c r="G80" i="9" s="1"/>
  <c r="F75" i="9"/>
  <c r="E75" i="9"/>
  <c r="D75" i="9"/>
  <c r="H75" i="9" s="1"/>
  <c r="C75" i="9"/>
  <c r="B75" i="9"/>
  <c r="H74" i="9"/>
  <c r="H72" i="9"/>
  <c r="G72" i="9"/>
  <c r="F72" i="9"/>
  <c r="E72" i="9"/>
  <c r="D72" i="9"/>
  <c r="C72" i="9"/>
  <c r="B72" i="9"/>
  <c r="G71" i="9"/>
  <c r="F71" i="9"/>
  <c r="H71" i="9" s="1"/>
  <c r="E71" i="9"/>
  <c r="D71" i="9"/>
  <c r="C71" i="9"/>
  <c r="B71" i="9"/>
  <c r="G70" i="9"/>
  <c r="F70" i="9"/>
  <c r="E70" i="9"/>
  <c r="D70" i="9"/>
  <c r="C70" i="9"/>
  <c r="B70" i="9"/>
  <c r="H70" i="9" s="1"/>
  <c r="F69" i="9"/>
  <c r="E69" i="9"/>
  <c r="D69" i="9"/>
  <c r="C69" i="9"/>
  <c r="B69" i="9"/>
  <c r="G68" i="9"/>
  <c r="H68" i="9" s="1"/>
  <c r="F68" i="9"/>
  <c r="E68" i="9"/>
  <c r="D68" i="9"/>
  <c r="C68" i="9"/>
  <c r="B68" i="9"/>
  <c r="H67" i="9"/>
  <c r="G66" i="9"/>
  <c r="F66" i="9"/>
  <c r="E66" i="9"/>
  <c r="H65" i="9"/>
  <c r="G65" i="9"/>
  <c r="F65" i="9"/>
  <c r="E65" i="9"/>
  <c r="D65" i="9"/>
  <c r="C65" i="9"/>
  <c r="B65" i="9"/>
  <c r="G64" i="9"/>
  <c r="F64" i="9"/>
  <c r="H64" i="9" s="1"/>
  <c r="E64" i="9"/>
  <c r="D64" i="9"/>
  <c r="C64" i="9"/>
  <c r="B64" i="9"/>
  <c r="G63" i="9"/>
  <c r="F63" i="9"/>
  <c r="E63" i="9"/>
  <c r="D63" i="9"/>
  <c r="C63" i="9"/>
  <c r="B63" i="9"/>
  <c r="H63" i="9" s="1"/>
  <c r="G62" i="9"/>
  <c r="F62" i="9"/>
  <c r="E62" i="9"/>
  <c r="D62" i="9"/>
  <c r="C62" i="9"/>
  <c r="H62" i="9" s="1"/>
  <c r="G61" i="9"/>
  <c r="F61" i="9"/>
  <c r="H61" i="9" s="1"/>
  <c r="E61" i="9"/>
  <c r="D61" i="9"/>
  <c r="C61" i="9"/>
  <c r="G60" i="9"/>
  <c r="F60" i="9"/>
  <c r="E60" i="9"/>
  <c r="E73" i="9" s="1"/>
  <c r="D60" i="9"/>
  <c r="C60" i="9"/>
  <c r="B60" i="9"/>
  <c r="H60" i="9" s="1"/>
  <c r="H59" i="9"/>
  <c r="G59" i="9"/>
  <c r="F59" i="9"/>
  <c r="E59" i="9"/>
  <c r="D59" i="9"/>
  <c r="C59" i="9"/>
  <c r="B59" i="9"/>
  <c r="G58" i="9"/>
  <c r="F58" i="9"/>
  <c r="H58" i="9" s="1"/>
  <c r="E58" i="9"/>
  <c r="D58" i="9"/>
  <c r="C58" i="9"/>
  <c r="H57" i="9"/>
  <c r="D56" i="9"/>
  <c r="C56" i="9"/>
  <c r="B56" i="9"/>
  <c r="F55" i="9"/>
  <c r="E55" i="9"/>
  <c r="D55" i="9"/>
  <c r="C55" i="9"/>
  <c r="H55" i="9" s="1"/>
  <c r="G54" i="9"/>
  <c r="G56" i="9" s="1"/>
  <c r="F54" i="9"/>
  <c r="F56" i="9" s="1"/>
  <c r="E54" i="9"/>
  <c r="H54" i="9" s="1"/>
  <c r="D54" i="9"/>
  <c r="C54" i="9"/>
  <c r="B54" i="9"/>
  <c r="H53" i="9"/>
  <c r="D52" i="9"/>
  <c r="G51" i="9"/>
  <c r="F51" i="9"/>
  <c r="E51" i="9"/>
  <c r="D51" i="9"/>
  <c r="C51" i="9"/>
  <c r="B51" i="9"/>
  <c r="H51" i="9" s="1"/>
  <c r="G50" i="9"/>
  <c r="H50" i="9" s="1"/>
  <c r="F50" i="9"/>
  <c r="E50" i="9"/>
  <c r="D50" i="9"/>
  <c r="G49" i="9"/>
  <c r="F49" i="9"/>
  <c r="E49" i="9"/>
  <c r="D49" i="9"/>
  <c r="C49" i="9"/>
  <c r="B49" i="9"/>
  <c r="H49" i="9" s="1"/>
  <c r="H48" i="9"/>
  <c r="G48" i="9"/>
  <c r="F48" i="9"/>
  <c r="E48" i="9"/>
  <c r="D48" i="9"/>
  <c r="C48" i="9"/>
  <c r="B48" i="9"/>
  <c r="F47" i="9"/>
  <c r="F52" i="9" s="1"/>
  <c r="E47" i="9"/>
  <c r="H47" i="9" s="1"/>
  <c r="D47" i="9"/>
  <c r="C47" i="9"/>
  <c r="B47" i="9"/>
  <c r="G46" i="9"/>
  <c r="F46" i="9"/>
  <c r="E46" i="9"/>
  <c r="D46" i="9"/>
  <c r="C46" i="9"/>
  <c r="C52" i="9" s="1"/>
  <c r="B46" i="9"/>
  <c r="H46" i="9" s="1"/>
  <c r="H45" i="9"/>
  <c r="G45" i="9"/>
  <c r="F45" i="9"/>
  <c r="E45" i="9"/>
  <c r="D45" i="9"/>
  <c r="C45" i="9"/>
  <c r="B45" i="9"/>
  <c r="H44" i="9"/>
  <c r="G43" i="9"/>
  <c r="G42" i="9"/>
  <c r="F42" i="9"/>
  <c r="E42" i="9"/>
  <c r="D42" i="9"/>
  <c r="C42" i="9"/>
  <c r="H42" i="9" s="1"/>
  <c r="B42" i="9"/>
  <c r="G41" i="9"/>
  <c r="F41" i="9"/>
  <c r="E41" i="9"/>
  <c r="D41" i="9"/>
  <c r="C41" i="9"/>
  <c r="B41" i="9"/>
  <c r="H41" i="9" s="1"/>
  <c r="H40" i="9"/>
  <c r="G40" i="9"/>
  <c r="F40" i="9"/>
  <c r="F43" i="9" s="1"/>
  <c r="E40" i="9"/>
  <c r="D40" i="9"/>
  <c r="C40" i="9"/>
  <c r="B40" i="9"/>
  <c r="B43" i="9" s="1"/>
  <c r="H39" i="9"/>
  <c r="G35" i="9"/>
  <c r="H35" i="9" s="1"/>
  <c r="E34" i="9"/>
  <c r="D34" i="9"/>
  <c r="C34" i="9"/>
  <c r="B34" i="9"/>
  <c r="H34" i="9" s="1"/>
  <c r="H33" i="9"/>
  <c r="D33" i="9"/>
  <c r="C33" i="9"/>
  <c r="B33" i="9"/>
  <c r="G32" i="9"/>
  <c r="F32" i="9"/>
  <c r="E32" i="9"/>
  <c r="D32" i="9"/>
  <c r="C32" i="9"/>
  <c r="H32" i="9" s="1"/>
  <c r="B32" i="9"/>
  <c r="G31" i="9"/>
  <c r="F31" i="9"/>
  <c r="E31" i="9"/>
  <c r="D31" i="9"/>
  <c r="C31" i="9"/>
  <c r="B31" i="9"/>
  <c r="H31" i="9" s="1"/>
  <c r="G30" i="9"/>
  <c r="G34" i="9" s="1"/>
  <c r="F30" i="9"/>
  <c r="F34" i="9" s="1"/>
  <c r="E30" i="9"/>
  <c r="D30" i="9"/>
  <c r="C30" i="9"/>
  <c r="B30" i="9"/>
  <c r="H29" i="9"/>
  <c r="G28" i="9"/>
  <c r="F28" i="9"/>
  <c r="E28" i="9"/>
  <c r="G27" i="9"/>
  <c r="F27" i="9"/>
  <c r="E27" i="9"/>
  <c r="D27" i="9"/>
  <c r="D28" i="9" s="1"/>
  <c r="C27" i="9"/>
  <c r="B27" i="9"/>
  <c r="H26" i="9"/>
  <c r="D26" i="9"/>
  <c r="C26" i="9"/>
  <c r="C28" i="9" s="1"/>
  <c r="B24" i="9"/>
  <c r="H24" i="9" s="1"/>
  <c r="G23" i="9"/>
  <c r="F23" i="9"/>
  <c r="E23" i="9"/>
  <c r="D23" i="9"/>
  <c r="H23" i="9" s="1"/>
  <c r="G22" i="9"/>
  <c r="F22" i="9"/>
  <c r="E22" i="9"/>
  <c r="D22" i="9"/>
  <c r="C22" i="9"/>
  <c r="B22" i="9"/>
  <c r="G21" i="9"/>
  <c r="F21" i="9"/>
  <c r="E21" i="9"/>
  <c r="D21" i="9"/>
  <c r="C21" i="9"/>
  <c r="H21" i="9" s="1"/>
  <c r="B21" i="9"/>
  <c r="C20" i="9"/>
  <c r="B20" i="9"/>
  <c r="H20" i="9" s="1"/>
  <c r="G19" i="9"/>
  <c r="F19" i="9"/>
  <c r="E19" i="9"/>
  <c r="D19" i="9"/>
  <c r="C19" i="9"/>
  <c r="B19" i="9"/>
  <c r="H19" i="9" s="1"/>
  <c r="G18" i="9"/>
  <c r="F18" i="9"/>
  <c r="E18" i="9"/>
  <c r="D18" i="9"/>
  <c r="C18" i="9"/>
  <c r="B18" i="9"/>
  <c r="H18" i="9" s="1"/>
  <c r="G17" i="9"/>
  <c r="H17" i="9" s="1"/>
  <c r="F17" i="9"/>
  <c r="E17" i="9"/>
  <c r="D17" i="9"/>
  <c r="C17" i="9"/>
  <c r="B17" i="9"/>
  <c r="G16" i="9"/>
  <c r="F16" i="9"/>
  <c r="E16" i="9"/>
  <c r="D16" i="9"/>
  <c r="C16" i="9"/>
  <c r="B16" i="9"/>
  <c r="F12" i="9"/>
  <c r="H12" i="9" s="1"/>
  <c r="G11" i="9"/>
  <c r="F11" i="9"/>
  <c r="H11" i="9" s="1"/>
  <c r="E11" i="9"/>
  <c r="D11" i="9"/>
  <c r="C11" i="9"/>
  <c r="B11" i="9"/>
  <c r="G10" i="9"/>
  <c r="F10" i="9"/>
  <c r="E10" i="9"/>
  <c r="D10" i="9"/>
  <c r="H10" i="9" s="1"/>
  <c r="C10" i="9"/>
  <c r="B10" i="9"/>
  <c r="B9" i="9"/>
  <c r="E8" i="9"/>
  <c r="H8" i="9" s="1"/>
  <c r="D8" i="9"/>
  <c r="C8" i="9"/>
  <c r="B8" i="9"/>
  <c r="G7" i="9"/>
  <c r="G9" i="9" s="1"/>
  <c r="F7" i="9"/>
  <c r="F9" i="9" s="1"/>
  <c r="E7" i="9"/>
  <c r="E9" i="9" s="1"/>
  <c r="E13" i="9" s="1"/>
  <c r="D7" i="9"/>
  <c r="D9" i="9" s="1"/>
  <c r="D13" i="9" s="1"/>
  <c r="C7" i="9"/>
  <c r="H7" i="9" s="1"/>
  <c r="B7" i="9"/>
  <c r="D29" i="3"/>
  <c r="K20" i="6" l="1"/>
  <c r="D31" i="3"/>
  <c r="D35" i="3" s="1"/>
  <c r="E28" i="3"/>
  <c r="H23" i="6"/>
  <c r="B13" i="9"/>
  <c r="B28" i="9"/>
  <c r="H28" i="9" s="1"/>
  <c r="H27" i="9"/>
  <c r="B73" i="9"/>
  <c r="B99" i="9"/>
  <c r="D43" i="9"/>
  <c r="D93" i="9" s="1"/>
  <c r="B52" i="9"/>
  <c r="E43" i="9"/>
  <c r="F93" i="9"/>
  <c r="G73" i="9"/>
  <c r="G93" i="9" s="1"/>
  <c r="F13" i="9"/>
  <c r="G13" i="9"/>
  <c r="H30" i="9"/>
  <c r="D73" i="9"/>
  <c r="C43" i="9"/>
  <c r="E80" i="9"/>
  <c r="H22" i="9"/>
  <c r="H66" i="9"/>
  <c r="F80" i="9"/>
  <c r="H16" i="9"/>
  <c r="C73" i="9"/>
  <c r="H76" i="9"/>
  <c r="C9" i="9"/>
  <c r="C13" i="9" s="1"/>
  <c r="E52" i="9"/>
  <c r="E56" i="9"/>
  <c r="H56" i="9" s="1"/>
  <c r="F98" i="9"/>
  <c r="F99" i="9" s="1"/>
  <c r="B80" i="9"/>
  <c r="G52" i="9"/>
  <c r="F73" i="9"/>
  <c r="D80" i="9"/>
  <c r="B86" i="9"/>
  <c r="H86" i="9" s="1"/>
  <c r="G69" i="9"/>
  <c r="H69" i="9" s="1"/>
  <c r="E29" i="3"/>
  <c r="F29" i="3" s="1"/>
  <c r="G29" i="3" s="1"/>
  <c r="H29" i="3" s="1"/>
  <c r="I29" i="3" s="1"/>
  <c r="J29" i="3" s="1"/>
  <c r="K29" i="3" s="1"/>
  <c r="L29" i="3" s="1"/>
  <c r="M29" i="3" s="1"/>
  <c r="N29" i="3" s="1"/>
  <c r="F28" i="3"/>
  <c r="O29" i="3" l="1"/>
  <c r="O31" i="3" s="1"/>
  <c r="O35" i="3" s="1"/>
  <c r="O42" i="3" s="1"/>
  <c r="N31" i="3"/>
  <c r="N35" i="3" s="1"/>
  <c r="N42" i="3" s="1"/>
  <c r="L20" i="6"/>
  <c r="E93" i="9"/>
  <c r="H98" i="9"/>
  <c r="H99" i="9"/>
  <c r="H73" i="9"/>
  <c r="H52" i="9"/>
  <c r="C93" i="9"/>
  <c r="H43" i="9"/>
  <c r="B93" i="9"/>
  <c r="H13" i="9"/>
  <c r="H9" i="9"/>
  <c r="H80" i="9"/>
  <c r="E31" i="3"/>
  <c r="M20" i="6" l="1"/>
  <c r="E35" i="3"/>
  <c r="E11" i="5" s="1"/>
  <c r="H93" i="9"/>
  <c r="F31" i="3"/>
  <c r="F35" i="3" s="1"/>
  <c r="F42" i="3" s="1"/>
  <c r="N20" i="6" l="1"/>
  <c r="E42" i="3"/>
  <c r="G31" i="3"/>
  <c r="G35" i="3" s="1"/>
  <c r="G42" i="3" s="1"/>
  <c r="O20" i="6" l="1"/>
  <c r="P20" i="6" l="1"/>
  <c r="Q20" i="6" l="1"/>
  <c r="R20" i="6" l="1"/>
  <c r="S20" i="6" l="1"/>
  <c r="T20" i="6" l="1"/>
  <c r="U20" i="6" l="1"/>
  <c r="V20" i="6" l="1"/>
  <c r="D39" i="3" l="1"/>
  <c r="H31" i="3"/>
  <c r="H35" i="3" s="1"/>
  <c r="H42" i="3" s="1"/>
  <c r="I31" i="3" l="1"/>
  <c r="I35" i="3" s="1"/>
  <c r="I42" i="3" s="1"/>
  <c r="H28" i="3"/>
  <c r="J31" i="3" l="1"/>
  <c r="J35" i="3" s="1"/>
  <c r="J42" i="3" s="1"/>
  <c r="I28" i="3"/>
  <c r="K31" i="3" l="1"/>
  <c r="K35" i="3" s="1"/>
  <c r="K42" i="3" s="1"/>
  <c r="J28" i="3"/>
  <c r="L31" i="3" l="1"/>
  <c r="L35" i="3" s="1"/>
  <c r="L42" i="3" s="1"/>
  <c r="K28" i="3"/>
  <c r="L28" i="3" l="1"/>
  <c r="M28" i="3" l="1"/>
  <c r="M31" i="3"/>
  <c r="M35" i="3" s="1"/>
  <c r="M42" i="3" s="1"/>
  <c r="C8" i="6" l="1"/>
  <c r="H8" i="6" s="1"/>
  <c r="H4" i="6"/>
  <c r="I1" i="6"/>
  <c r="I8" i="6" l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I23" i="6"/>
  <c r="H12" i="6"/>
  <c r="I4" i="6"/>
  <c r="I12" i="6" l="1"/>
  <c r="J4" i="6"/>
  <c r="J23" i="6"/>
  <c r="I27" i="6"/>
  <c r="K23" i="6" l="1"/>
  <c r="J27" i="6"/>
  <c r="J12" i="6"/>
  <c r="K4" i="6"/>
  <c r="K12" i="6" l="1"/>
  <c r="L4" i="6"/>
  <c r="L23" i="6"/>
  <c r="K27" i="6"/>
  <c r="L12" i="6" l="1"/>
  <c r="M4" i="6"/>
  <c r="M23" i="6"/>
  <c r="L27" i="6"/>
  <c r="N23" i="6" l="1"/>
  <c r="M27" i="6"/>
  <c r="M12" i="6"/>
  <c r="N4" i="6"/>
  <c r="N12" i="6" l="1"/>
  <c r="O4" i="6"/>
  <c r="O23" i="6"/>
  <c r="N27" i="6"/>
  <c r="O12" i="6" l="1"/>
  <c r="P4" i="6"/>
  <c r="P23" i="6"/>
  <c r="O27" i="6"/>
  <c r="P12" i="6" l="1"/>
  <c r="Q4" i="6"/>
  <c r="Q23" i="6"/>
  <c r="P27" i="6"/>
  <c r="Q12" i="6" l="1"/>
  <c r="R4" i="6"/>
  <c r="R23" i="6"/>
  <c r="Q27" i="6"/>
  <c r="R12" i="6" l="1"/>
  <c r="S4" i="6"/>
  <c r="S23" i="6"/>
  <c r="R27" i="6"/>
  <c r="S12" i="6" l="1"/>
  <c r="T4" i="6"/>
  <c r="T23" i="6"/>
  <c r="S27" i="6"/>
  <c r="T12" i="6" l="1"/>
  <c r="U4" i="6"/>
  <c r="U23" i="6"/>
  <c r="T27" i="6"/>
  <c r="V23" i="6" l="1"/>
  <c r="V27" i="6" s="1"/>
  <c r="U27" i="6"/>
  <c r="U12" i="6"/>
  <c r="V4" i="6"/>
  <c r="V12" i="6" s="1"/>
  <c r="I16" i="5" l="1"/>
  <c r="H16" i="5"/>
  <c r="G16" i="5"/>
  <c r="F16" i="5"/>
  <c r="E16" i="5"/>
  <c r="D16" i="5"/>
  <c r="M41" i="4"/>
  <c r="L41" i="4"/>
  <c r="M40" i="4"/>
  <c r="L40" i="4"/>
  <c r="M39" i="4"/>
  <c r="L39" i="4"/>
  <c r="M38" i="4"/>
  <c r="L38" i="4"/>
  <c r="M37" i="4"/>
  <c r="L37" i="4"/>
  <c r="L33" i="4"/>
  <c r="M33" i="4" s="1"/>
  <c r="M31" i="4"/>
  <c r="L31" i="4"/>
  <c r="M26" i="4"/>
  <c r="L26" i="4"/>
  <c r="M25" i="4"/>
  <c r="L25" i="4"/>
  <c r="M24" i="4"/>
  <c r="L24" i="4"/>
  <c r="L18" i="4"/>
  <c r="L22" i="4" s="1"/>
  <c r="M16" i="4"/>
  <c r="L16" i="4"/>
  <c r="M15" i="4"/>
  <c r="L15" i="4"/>
  <c r="C74" i="5"/>
  <c r="C75" i="5" s="1"/>
  <c r="D73" i="5"/>
  <c r="C46" i="5"/>
  <c r="C47" i="5" s="1"/>
  <c r="C17" i="5"/>
  <c r="C18" i="5" s="1"/>
  <c r="D18" i="5" s="1"/>
  <c r="E9" i="5"/>
  <c r="E17" i="5" s="1"/>
  <c r="C46" i="3"/>
  <c r="C45" i="3"/>
  <c r="C44" i="3"/>
  <c r="E16" i="3"/>
  <c r="C7" i="2"/>
  <c r="C12" i="2"/>
  <c r="C16" i="2" s="1"/>
  <c r="C11" i="2"/>
  <c r="D17" i="5" l="1"/>
  <c r="E18" i="5"/>
  <c r="D75" i="5"/>
  <c r="C76" i="5"/>
  <c r="C19" i="5"/>
  <c r="D74" i="5"/>
  <c r="M18" i="4"/>
  <c r="L20" i="4"/>
  <c r="L21" i="4"/>
  <c r="C48" i="5"/>
  <c r="E74" i="5"/>
  <c r="E75" i="5"/>
  <c r="F9" i="5"/>
  <c r="F18" i="5" l="1"/>
  <c r="F17" i="5"/>
  <c r="F19" i="5"/>
  <c r="E19" i="5"/>
  <c r="D19" i="5"/>
  <c r="C20" i="5"/>
  <c r="F20" i="5" s="1"/>
  <c r="C77" i="5"/>
  <c r="F77" i="5" s="1"/>
  <c r="D76" i="5"/>
  <c r="E76" i="5"/>
  <c r="L23" i="4"/>
  <c r="L19" i="4"/>
  <c r="M22" i="4"/>
  <c r="M21" i="4"/>
  <c r="M20" i="4"/>
  <c r="D11" i="5"/>
  <c r="D13" i="5" s="1"/>
  <c r="F75" i="5"/>
  <c r="G9" i="5"/>
  <c r="F76" i="5"/>
  <c r="C49" i="5"/>
  <c r="D44" i="3" l="1"/>
  <c r="F45" i="5"/>
  <c r="D45" i="5"/>
  <c r="E45" i="5"/>
  <c r="G18" i="5"/>
  <c r="G19" i="5"/>
  <c r="G17" i="5"/>
  <c r="G20" i="5"/>
  <c r="C21" i="5"/>
  <c r="D20" i="5"/>
  <c r="E20" i="5"/>
  <c r="C22" i="5"/>
  <c r="C78" i="5"/>
  <c r="G78" i="5" s="1"/>
  <c r="D77" i="5"/>
  <c r="E77" i="5"/>
  <c r="M23" i="4"/>
  <c r="M19" i="4"/>
  <c r="L27" i="4"/>
  <c r="L32" i="4"/>
  <c r="L34" i="4" s="1"/>
  <c r="C50" i="5"/>
  <c r="G45" i="5"/>
  <c r="G77" i="5"/>
  <c r="H9" i="5"/>
  <c r="G76" i="5"/>
  <c r="G73" i="5" l="1"/>
  <c r="D22" i="5"/>
  <c r="E22" i="5"/>
  <c r="F22" i="5"/>
  <c r="E21" i="5"/>
  <c r="D21" i="5"/>
  <c r="F21" i="5"/>
  <c r="G22" i="5"/>
  <c r="G21" i="5"/>
  <c r="H19" i="5"/>
  <c r="H20" i="5"/>
  <c r="H22" i="5"/>
  <c r="H21" i="5"/>
  <c r="H17" i="5"/>
  <c r="H18" i="5"/>
  <c r="C23" i="5"/>
  <c r="H23" i="5" s="1"/>
  <c r="C79" i="5"/>
  <c r="H79" i="5" s="1"/>
  <c r="D78" i="5"/>
  <c r="E78" i="5"/>
  <c r="F78" i="5"/>
  <c r="E73" i="5"/>
  <c r="L28" i="4"/>
  <c r="L29" i="4" s="1"/>
  <c r="M32" i="4"/>
  <c r="M34" i="4" s="1"/>
  <c r="M27" i="4"/>
  <c r="F73" i="5"/>
  <c r="H77" i="5"/>
  <c r="I9" i="5"/>
  <c r="H78" i="5"/>
  <c r="H45" i="5"/>
  <c r="H73" i="5" s="1"/>
  <c r="C51" i="5"/>
  <c r="D23" i="5" l="1"/>
  <c r="E23" i="5"/>
  <c r="F23" i="5"/>
  <c r="G23" i="5"/>
  <c r="C24" i="5"/>
  <c r="I21" i="5"/>
  <c r="I22" i="5"/>
  <c r="I24" i="5"/>
  <c r="I19" i="5"/>
  <c r="I20" i="5"/>
  <c r="I23" i="5"/>
  <c r="I17" i="5"/>
  <c r="I18" i="5"/>
  <c r="D79" i="5"/>
  <c r="C80" i="5"/>
  <c r="I80" i="5" s="1"/>
  <c r="E79" i="5"/>
  <c r="F79" i="5"/>
  <c r="G79" i="5"/>
  <c r="M28" i="4"/>
  <c r="M29" i="4" s="1"/>
  <c r="C52" i="5"/>
  <c r="I79" i="5"/>
  <c r="I78" i="5"/>
  <c r="J9" i="5"/>
  <c r="I45" i="5"/>
  <c r="I73" i="5" s="1"/>
  <c r="J24" i="5" l="1"/>
  <c r="J18" i="5"/>
  <c r="J20" i="5"/>
  <c r="J23" i="5"/>
  <c r="J21" i="5"/>
  <c r="J17" i="5"/>
  <c r="J22" i="5"/>
  <c r="J19" i="5"/>
  <c r="D24" i="5"/>
  <c r="E24" i="5"/>
  <c r="F24" i="5"/>
  <c r="G24" i="5"/>
  <c r="H24" i="5"/>
  <c r="C25" i="5"/>
  <c r="C26" i="5" s="1"/>
  <c r="E80" i="5"/>
  <c r="C81" i="5"/>
  <c r="J81" i="5" s="1"/>
  <c r="F80" i="5"/>
  <c r="D80" i="5"/>
  <c r="G80" i="5"/>
  <c r="H80" i="5"/>
  <c r="J73" i="5"/>
  <c r="J80" i="5"/>
  <c r="K9" i="5"/>
  <c r="J45" i="5"/>
  <c r="J79" i="5"/>
  <c r="C53" i="5"/>
  <c r="D26" i="5" l="1"/>
  <c r="E26" i="5"/>
  <c r="F26" i="5"/>
  <c r="G26" i="5"/>
  <c r="H26" i="5"/>
  <c r="I26" i="5"/>
  <c r="J26" i="5"/>
  <c r="K22" i="5"/>
  <c r="K24" i="5"/>
  <c r="K20" i="5"/>
  <c r="K25" i="5"/>
  <c r="K21" i="5"/>
  <c r="K17" i="5"/>
  <c r="K26" i="5"/>
  <c r="K18" i="5"/>
  <c r="K27" i="5"/>
  <c r="K23" i="5"/>
  <c r="K19" i="5"/>
  <c r="D25" i="5"/>
  <c r="E25" i="5"/>
  <c r="F25" i="5"/>
  <c r="G25" i="5"/>
  <c r="H25" i="5"/>
  <c r="I25" i="5"/>
  <c r="J25" i="5"/>
  <c r="F81" i="5"/>
  <c r="C82" i="5"/>
  <c r="K82" i="5" s="1"/>
  <c r="D81" i="5"/>
  <c r="E81" i="5"/>
  <c r="G81" i="5"/>
  <c r="H81" i="5"/>
  <c r="I81" i="5"/>
  <c r="C27" i="5"/>
  <c r="K81" i="5"/>
  <c r="K80" i="5"/>
  <c r="K74" i="5"/>
  <c r="K73" i="5"/>
  <c r="L9" i="5"/>
  <c r="K45" i="5"/>
  <c r="C54" i="5"/>
  <c r="L24" i="5" l="1"/>
  <c r="L20" i="5"/>
  <c r="L26" i="5"/>
  <c r="L22" i="5"/>
  <c r="L18" i="5"/>
  <c r="L27" i="5"/>
  <c r="L25" i="5"/>
  <c r="L23" i="5"/>
  <c r="L21" i="5"/>
  <c r="L19" i="5"/>
  <c r="L17" i="5"/>
  <c r="D27" i="5"/>
  <c r="E27" i="5"/>
  <c r="F27" i="5"/>
  <c r="G27" i="5"/>
  <c r="H27" i="5"/>
  <c r="I27" i="5"/>
  <c r="J27" i="5"/>
  <c r="H82" i="5"/>
  <c r="F82" i="5"/>
  <c r="G82" i="5"/>
  <c r="C83" i="5"/>
  <c r="L83" i="5" s="1"/>
  <c r="D82" i="5"/>
  <c r="E82" i="5"/>
  <c r="I82" i="5"/>
  <c r="J82" i="5"/>
  <c r="L74" i="5"/>
  <c r="L81" i="5"/>
  <c r="M9" i="5"/>
  <c r="L73" i="5"/>
  <c r="L45" i="5"/>
  <c r="L75" i="5"/>
  <c r="L82" i="5"/>
  <c r="C55" i="5"/>
  <c r="C28" i="5"/>
  <c r="D28" i="5" l="1"/>
  <c r="E28" i="5"/>
  <c r="F28" i="5"/>
  <c r="G28" i="5"/>
  <c r="H28" i="5"/>
  <c r="I28" i="5"/>
  <c r="J28" i="5"/>
  <c r="K28" i="5"/>
  <c r="L28" i="5"/>
  <c r="M28" i="5"/>
  <c r="M26" i="5"/>
  <c r="M55" i="5" s="1"/>
  <c r="M24" i="5"/>
  <c r="M22" i="5"/>
  <c r="M18" i="5"/>
  <c r="M20" i="5"/>
  <c r="M29" i="5"/>
  <c r="M27" i="5"/>
  <c r="M25" i="5"/>
  <c r="M23" i="5"/>
  <c r="M21" i="5"/>
  <c r="M19" i="5"/>
  <c r="M17" i="5"/>
  <c r="H83" i="5"/>
  <c r="C84" i="5"/>
  <c r="M84" i="5" s="1"/>
  <c r="D83" i="5"/>
  <c r="E83" i="5"/>
  <c r="F83" i="5"/>
  <c r="G83" i="5"/>
  <c r="I83" i="5"/>
  <c r="J83" i="5"/>
  <c r="K83" i="5"/>
  <c r="C29" i="5"/>
  <c r="D55" i="5"/>
  <c r="C56" i="5"/>
  <c r="E55" i="5"/>
  <c r="F55" i="5"/>
  <c r="G55" i="5"/>
  <c r="H55" i="5"/>
  <c r="I55" i="5"/>
  <c r="J55" i="5"/>
  <c r="K55" i="5"/>
  <c r="M76" i="5"/>
  <c r="M74" i="5"/>
  <c r="M73" i="5"/>
  <c r="M82" i="5"/>
  <c r="M75" i="5"/>
  <c r="M83" i="5"/>
  <c r="M45" i="5"/>
  <c r="D29" i="5" l="1"/>
  <c r="E29" i="5"/>
  <c r="F29" i="5"/>
  <c r="G29" i="5"/>
  <c r="H29" i="5"/>
  <c r="I29" i="5"/>
  <c r="J29" i="5"/>
  <c r="K29" i="5"/>
  <c r="L29" i="5"/>
  <c r="I84" i="5"/>
  <c r="E84" i="5"/>
  <c r="F84" i="5"/>
  <c r="G84" i="5"/>
  <c r="J84" i="5"/>
  <c r="C85" i="5"/>
  <c r="D84" i="5"/>
  <c r="H84" i="5"/>
  <c r="K84" i="5"/>
  <c r="L84" i="5"/>
  <c r="C57" i="5"/>
  <c r="D56" i="5"/>
  <c r="E56" i="5"/>
  <c r="F56" i="5"/>
  <c r="G56" i="5"/>
  <c r="H56" i="5"/>
  <c r="I56" i="5"/>
  <c r="J56" i="5"/>
  <c r="K56" i="5"/>
  <c r="L56" i="5"/>
  <c r="L55" i="5"/>
  <c r="C30" i="5"/>
  <c r="D30" i="5" l="1"/>
  <c r="E30" i="5"/>
  <c r="F30" i="5"/>
  <c r="G30" i="5"/>
  <c r="H30" i="5"/>
  <c r="I30" i="5"/>
  <c r="J30" i="5"/>
  <c r="K30" i="5"/>
  <c r="L30" i="5"/>
  <c r="M30" i="5"/>
  <c r="J85" i="5"/>
  <c r="G85" i="5"/>
  <c r="H85" i="5"/>
  <c r="C86" i="5"/>
  <c r="D85" i="5"/>
  <c r="I85" i="5"/>
  <c r="K85" i="5"/>
  <c r="E85" i="5"/>
  <c r="F85" i="5"/>
  <c r="L85" i="5"/>
  <c r="M85" i="5"/>
  <c r="C31" i="5"/>
  <c r="C58" i="5"/>
  <c r="D57" i="5"/>
  <c r="E57" i="5"/>
  <c r="F57" i="5"/>
  <c r="H57" i="5"/>
  <c r="I57" i="5"/>
  <c r="J57" i="5"/>
  <c r="K57" i="5"/>
  <c r="L57" i="5"/>
  <c r="M57" i="5"/>
  <c r="G57" i="5"/>
  <c r="M56" i="5"/>
  <c r="D31" i="5" l="1"/>
  <c r="E31" i="5"/>
  <c r="F31" i="5"/>
  <c r="G31" i="5"/>
  <c r="H31" i="5"/>
  <c r="I31" i="5"/>
  <c r="J31" i="5"/>
  <c r="K31" i="5"/>
  <c r="L31" i="5"/>
  <c r="M31" i="5"/>
  <c r="D86" i="5"/>
  <c r="J86" i="5"/>
  <c r="C87" i="5"/>
  <c r="G86" i="5"/>
  <c r="I86" i="5"/>
  <c r="H86" i="5"/>
  <c r="E86" i="5"/>
  <c r="F86" i="5"/>
  <c r="L86" i="5"/>
  <c r="K86" i="5"/>
  <c r="M86" i="5"/>
  <c r="C32" i="5"/>
  <c r="E58" i="5"/>
  <c r="C59" i="5"/>
  <c r="I58" i="5"/>
  <c r="J58" i="5"/>
  <c r="K58" i="5"/>
  <c r="L58" i="5"/>
  <c r="M58" i="5"/>
  <c r="D32" i="5" l="1"/>
  <c r="E32" i="5"/>
  <c r="F32" i="5"/>
  <c r="G32" i="5"/>
  <c r="H32" i="5"/>
  <c r="I32" i="5"/>
  <c r="J32" i="5"/>
  <c r="K32" i="5"/>
  <c r="L32" i="5"/>
  <c r="M32" i="5"/>
  <c r="L87" i="5"/>
  <c r="D87" i="5"/>
  <c r="M87" i="5"/>
  <c r="C88" i="5"/>
  <c r="E87" i="5"/>
  <c r="H87" i="5"/>
  <c r="K87" i="5"/>
  <c r="F87" i="5"/>
  <c r="G87" i="5"/>
  <c r="I87" i="5"/>
  <c r="J87" i="5"/>
  <c r="H58" i="5"/>
  <c r="F58" i="5"/>
  <c r="C60" i="5"/>
  <c r="M59" i="5"/>
  <c r="F59" i="5"/>
  <c r="G58" i="5"/>
  <c r="C33" i="5"/>
  <c r="D58" i="5"/>
  <c r="D33" i="5" l="1"/>
  <c r="E33" i="5"/>
  <c r="F33" i="5"/>
  <c r="G33" i="5"/>
  <c r="H33" i="5"/>
  <c r="I33" i="5"/>
  <c r="J33" i="5"/>
  <c r="K33" i="5"/>
  <c r="L33" i="5"/>
  <c r="M33" i="5"/>
  <c r="M88" i="5"/>
  <c r="L88" i="5"/>
  <c r="D88" i="5"/>
  <c r="C89" i="5"/>
  <c r="E88" i="5"/>
  <c r="F88" i="5"/>
  <c r="H88" i="5"/>
  <c r="I88" i="5"/>
  <c r="J88" i="5"/>
  <c r="G88" i="5"/>
  <c r="K88" i="5"/>
  <c r="C34" i="5"/>
  <c r="K59" i="5"/>
  <c r="H59" i="5"/>
  <c r="G59" i="5"/>
  <c r="E59" i="5"/>
  <c r="C61" i="5"/>
  <c r="G60" i="5"/>
  <c r="H60" i="5"/>
  <c r="I60" i="5"/>
  <c r="J60" i="5"/>
  <c r="K60" i="5"/>
  <c r="L60" i="5"/>
  <c r="M60" i="5"/>
  <c r="D59" i="5"/>
  <c r="L59" i="5"/>
  <c r="J59" i="5"/>
  <c r="I59" i="5"/>
  <c r="D34" i="5" l="1"/>
  <c r="E34" i="5"/>
  <c r="F34" i="5"/>
  <c r="G34" i="5"/>
  <c r="H34" i="5"/>
  <c r="I34" i="5"/>
  <c r="J34" i="5"/>
  <c r="K34" i="5"/>
  <c r="L34" i="5"/>
  <c r="M34" i="5"/>
  <c r="L89" i="5"/>
  <c r="D89" i="5"/>
  <c r="J89" i="5"/>
  <c r="K89" i="5"/>
  <c r="M89" i="5"/>
  <c r="C90" i="5"/>
  <c r="E89" i="5"/>
  <c r="G89" i="5"/>
  <c r="I89" i="5"/>
  <c r="F89" i="5"/>
  <c r="H89" i="5"/>
  <c r="F60" i="5"/>
  <c r="E60" i="5"/>
  <c r="D60" i="5"/>
  <c r="C62" i="5"/>
  <c r="E61" i="5"/>
  <c r="F61" i="5"/>
  <c r="G61" i="5"/>
  <c r="H61" i="5"/>
  <c r="I61" i="5"/>
  <c r="J61" i="5"/>
  <c r="C35" i="5"/>
  <c r="D35" i="5" l="1"/>
  <c r="E35" i="5"/>
  <c r="F35" i="5"/>
  <c r="G35" i="5"/>
  <c r="H35" i="5"/>
  <c r="I35" i="5"/>
  <c r="J35" i="5"/>
  <c r="K35" i="5"/>
  <c r="L35" i="5"/>
  <c r="M35" i="5"/>
  <c r="D90" i="5"/>
  <c r="F90" i="5"/>
  <c r="K90" i="5"/>
  <c r="L90" i="5"/>
  <c r="E90" i="5"/>
  <c r="G90" i="5"/>
  <c r="H90" i="5"/>
  <c r="I90" i="5"/>
  <c r="J90" i="5"/>
  <c r="M90" i="5"/>
  <c r="C91" i="5"/>
  <c r="C63" i="5"/>
  <c r="G62" i="5"/>
  <c r="H62" i="5"/>
  <c r="I62" i="5"/>
  <c r="J62" i="5"/>
  <c r="L62" i="5"/>
  <c r="M62" i="5"/>
  <c r="K62" i="5"/>
  <c r="D61" i="5"/>
  <c r="C36" i="5"/>
  <c r="M61" i="5"/>
  <c r="L61" i="5"/>
  <c r="K61" i="5"/>
  <c r="D36" i="5" l="1"/>
  <c r="E36" i="5"/>
  <c r="F36" i="5"/>
  <c r="G36" i="5"/>
  <c r="H36" i="5"/>
  <c r="I36" i="5"/>
  <c r="J36" i="5"/>
  <c r="K36" i="5"/>
  <c r="L36" i="5"/>
  <c r="M36" i="5"/>
  <c r="D91" i="5"/>
  <c r="J91" i="5"/>
  <c r="K91" i="5"/>
  <c r="L91" i="5"/>
  <c r="E91" i="5"/>
  <c r="F91" i="5"/>
  <c r="G91" i="5"/>
  <c r="C92" i="5"/>
  <c r="H91" i="5"/>
  <c r="I91" i="5"/>
  <c r="M91" i="5"/>
  <c r="F62" i="5"/>
  <c r="E62" i="5"/>
  <c r="D62" i="5"/>
  <c r="C37" i="5"/>
  <c r="D63" i="5"/>
  <c r="C64" i="5"/>
  <c r="E63" i="5"/>
  <c r="F63" i="5"/>
  <c r="G63" i="5"/>
  <c r="H63" i="5"/>
  <c r="D37" i="5" l="1"/>
  <c r="E37" i="5"/>
  <c r="F37" i="5"/>
  <c r="G37" i="5"/>
  <c r="H37" i="5"/>
  <c r="I37" i="5"/>
  <c r="J37" i="5"/>
  <c r="K37" i="5"/>
  <c r="L37" i="5"/>
  <c r="M37" i="5"/>
  <c r="E92" i="5"/>
  <c r="M92" i="5"/>
  <c r="C93" i="5"/>
  <c r="D92" i="5"/>
  <c r="H92" i="5"/>
  <c r="I92" i="5"/>
  <c r="K92" i="5"/>
  <c r="L92" i="5"/>
  <c r="F92" i="5"/>
  <c r="G92" i="5"/>
  <c r="J92" i="5"/>
  <c r="C65" i="5"/>
  <c r="H64" i="5"/>
  <c r="I64" i="5"/>
  <c r="M64" i="5"/>
  <c r="C38" i="5"/>
  <c r="L63" i="5"/>
  <c r="M63" i="5"/>
  <c r="K63" i="5"/>
  <c r="J63" i="5"/>
  <c r="I63" i="5"/>
  <c r="D38" i="5" l="1"/>
  <c r="E38" i="5"/>
  <c r="F38" i="5"/>
  <c r="G38" i="5"/>
  <c r="H38" i="5"/>
  <c r="I38" i="5"/>
  <c r="J38" i="5"/>
  <c r="K38" i="5"/>
  <c r="L38" i="5"/>
  <c r="M38" i="5"/>
  <c r="L93" i="5"/>
  <c r="M93" i="5"/>
  <c r="G93" i="5"/>
  <c r="H93" i="5"/>
  <c r="K93" i="5"/>
  <c r="F93" i="5"/>
  <c r="J93" i="5"/>
  <c r="C94" i="5"/>
  <c r="D93" i="5"/>
  <c r="E93" i="5"/>
  <c r="I93" i="5"/>
  <c r="C39" i="5"/>
  <c r="L64" i="5"/>
  <c r="K64" i="5"/>
  <c r="J64" i="5"/>
  <c r="G64" i="5"/>
  <c r="F64" i="5"/>
  <c r="E64" i="5"/>
  <c r="D65" i="5"/>
  <c r="C66" i="5"/>
  <c r="D64" i="5"/>
  <c r="D39" i="5" l="1"/>
  <c r="E39" i="5"/>
  <c r="F39" i="5"/>
  <c r="G39" i="5"/>
  <c r="H39" i="5"/>
  <c r="I39" i="5"/>
  <c r="J39" i="5"/>
  <c r="K39" i="5"/>
  <c r="L39" i="5"/>
  <c r="M39" i="5"/>
  <c r="I94" i="5"/>
  <c r="J94" i="5"/>
  <c r="K94" i="5"/>
  <c r="M94" i="5"/>
  <c r="F94" i="5"/>
  <c r="G94" i="5"/>
  <c r="H94" i="5"/>
  <c r="L94" i="5"/>
  <c r="D94" i="5"/>
  <c r="C95" i="5"/>
  <c r="E94" i="5"/>
  <c r="J66" i="5"/>
  <c r="M65" i="5"/>
  <c r="K65" i="5"/>
  <c r="I65" i="5"/>
  <c r="H65" i="5"/>
  <c r="G65" i="5"/>
  <c r="F65" i="5"/>
  <c r="E65" i="5"/>
  <c r="L65" i="5"/>
  <c r="J65" i="5"/>
  <c r="D66" i="5"/>
  <c r="C67" i="5"/>
  <c r="E66" i="5"/>
  <c r="K66" i="5"/>
  <c r="L66" i="5"/>
  <c r="M66" i="5"/>
  <c r="I95" i="5" l="1"/>
  <c r="K95" i="5"/>
  <c r="M95" i="5"/>
  <c r="E95" i="5"/>
  <c r="F95" i="5"/>
  <c r="H95" i="5"/>
  <c r="J95" i="5"/>
  <c r="L95" i="5"/>
  <c r="D95" i="5"/>
  <c r="G95" i="5"/>
  <c r="C96" i="5"/>
  <c r="C68" i="5"/>
  <c r="E67" i="5"/>
  <c r="I66" i="5"/>
  <c r="H66" i="5"/>
  <c r="G66" i="5"/>
  <c r="F66" i="5"/>
  <c r="J41" i="4"/>
  <c r="K41" i="4" s="1"/>
  <c r="K40" i="4"/>
  <c r="J40" i="4"/>
  <c r="I40" i="4"/>
  <c r="H40" i="4"/>
  <c r="G40" i="4"/>
  <c r="F40" i="4"/>
  <c r="E40" i="4"/>
  <c r="D40" i="4"/>
  <c r="K39" i="4"/>
  <c r="J39" i="4"/>
  <c r="I39" i="4"/>
  <c r="H39" i="4"/>
  <c r="G39" i="4"/>
  <c r="F39" i="4"/>
  <c r="E39" i="4"/>
  <c r="D39" i="4"/>
  <c r="K38" i="4"/>
  <c r="J38" i="4"/>
  <c r="I38" i="4"/>
  <c r="H38" i="4"/>
  <c r="G38" i="4"/>
  <c r="K37" i="4"/>
  <c r="J37" i="4"/>
  <c r="I37" i="4"/>
  <c r="H37" i="4"/>
  <c r="G37" i="4"/>
  <c r="G33" i="4" s="1"/>
  <c r="F37" i="4"/>
  <c r="E37" i="4"/>
  <c r="K31" i="4"/>
  <c r="J31" i="4"/>
  <c r="I31" i="4"/>
  <c r="H31" i="4"/>
  <c r="G31" i="4"/>
  <c r="G26" i="4"/>
  <c r="H26" i="4" s="1"/>
  <c r="I26" i="4" s="1"/>
  <c r="J26" i="4" s="1"/>
  <c r="K26" i="4" s="1"/>
  <c r="K25" i="4"/>
  <c r="J25" i="4"/>
  <c r="I25" i="4"/>
  <c r="H25" i="4"/>
  <c r="G25" i="4"/>
  <c r="K24" i="4"/>
  <c r="J24" i="4"/>
  <c r="I24" i="4"/>
  <c r="H24" i="4"/>
  <c r="G24" i="4"/>
  <c r="F20" i="4"/>
  <c r="F23" i="4" s="1"/>
  <c r="E20" i="4"/>
  <c r="E23" i="4" s="1"/>
  <c r="D20" i="4"/>
  <c r="D23" i="4" s="1"/>
  <c r="F16" i="4"/>
  <c r="E16" i="4" s="1"/>
  <c r="D16" i="4" s="1"/>
  <c r="F15" i="4"/>
  <c r="G15" i="4" s="1"/>
  <c r="H15" i="4" s="1"/>
  <c r="I15" i="4" s="1"/>
  <c r="J15" i="4" s="1"/>
  <c r="K15" i="4" s="1"/>
  <c r="C2" i="4"/>
  <c r="F11" i="5" l="1"/>
  <c r="M96" i="5"/>
  <c r="D96" i="5"/>
  <c r="D98" i="5" s="1"/>
  <c r="F96" i="5"/>
  <c r="G96" i="5"/>
  <c r="H96" i="5"/>
  <c r="I96" i="5"/>
  <c r="E96" i="5"/>
  <c r="E98" i="5" s="1"/>
  <c r="J96" i="5"/>
  <c r="K96" i="5"/>
  <c r="L96" i="5"/>
  <c r="H33" i="4"/>
  <c r="I33" i="4" s="1"/>
  <c r="J33" i="4"/>
  <c r="E15" i="4"/>
  <c r="L67" i="5"/>
  <c r="K67" i="5"/>
  <c r="J67" i="5"/>
  <c r="G67" i="5"/>
  <c r="M67" i="5"/>
  <c r="I67" i="5"/>
  <c r="F67" i="5"/>
  <c r="D67" i="5"/>
  <c r="H67" i="5"/>
  <c r="D68" i="5"/>
  <c r="E68" i="5"/>
  <c r="F68" i="5"/>
  <c r="G68" i="5"/>
  <c r="H68" i="5"/>
  <c r="I68" i="5"/>
  <c r="J68" i="5"/>
  <c r="K68" i="5"/>
  <c r="L68" i="5"/>
  <c r="G18" i="4"/>
  <c r="G20" i="4" s="1"/>
  <c r="G19" i="4" s="1"/>
  <c r="D38" i="4"/>
  <c r="E38" i="4"/>
  <c r="F38" i="4"/>
  <c r="D27" i="4"/>
  <c r="D41" i="4" s="1"/>
  <c r="D32" i="4"/>
  <c r="D34" i="4" s="1"/>
  <c r="E27" i="4"/>
  <c r="E29" i="4" s="1"/>
  <c r="E32" i="4"/>
  <c r="E34" i="4" s="1"/>
  <c r="F27" i="4"/>
  <c r="F41" i="4" s="1"/>
  <c r="F32" i="4"/>
  <c r="F34" i="4" s="1"/>
  <c r="K33" i="4"/>
  <c r="D29" i="4"/>
  <c r="E41" i="4"/>
  <c r="G16" i="4"/>
  <c r="E13" i="5" l="1"/>
  <c r="E101" i="5" s="1"/>
  <c r="E37" i="3"/>
  <c r="E39" i="3" s="1"/>
  <c r="D37" i="3"/>
  <c r="D100" i="5"/>
  <c r="H18" i="4"/>
  <c r="G22" i="4"/>
  <c r="G21" i="4"/>
  <c r="E47" i="5"/>
  <c r="D47" i="5"/>
  <c r="F47" i="5"/>
  <c r="G47" i="5"/>
  <c r="H47" i="5"/>
  <c r="I47" i="5"/>
  <c r="J47" i="5"/>
  <c r="K47" i="5"/>
  <c r="M68" i="5"/>
  <c r="F29" i="4"/>
  <c r="G11" i="5"/>
  <c r="D15" i="4"/>
  <c r="H16" i="4"/>
  <c r="G23" i="4"/>
  <c r="G32" i="4" s="1"/>
  <c r="G34" i="4" s="1"/>
  <c r="H22" i="4"/>
  <c r="I18" i="4"/>
  <c r="H20" i="4"/>
  <c r="H21" i="4"/>
  <c r="E100" i="5" l="1"/>
  <c r="D42" i="3"/>
  <c r="J75" i="5"/>
  <c r="H75" i="5"/>
  <c r="I75" i="5"/>
  <c r="G27" i="4"/>
  <c r="G75" i="5"/>
  <c r="K75" i="5"/>
  <c r="L47" i="5"/>
  <c r="M47" i="5" s="1"/>
  <c r="E46" i="5"/>
  <c r="D46" i="5"/>
  <c r="F46" i="5"/>
  <c r="G46" i="5"/>
  <c r="H46" i="5"/>
  <c r="I46" i="5"/>
  <c r="J46" i="5"/>
  <c r="D48" i="5"/>
  <c r="E48" i="5"/>
  <c r="F48" i="5"/>
  <c r="G48" i="5"/>
  <c r="H48" i="5"/>
  <c r="J48" i="5"/>
  <c r="I48" i="5"/>
  <c r="K48" i="5"/>
  <c r="L48" i="5"/>
  <c r="D46" i="3"/>
  <c r="D45" i="3"/>
  <c r="I16" i="4"/>
  <c r="H23" i="4"/>
  <c r="H19" i="4"/>
  <c r="I22" i="4"/>
  <c r="J18" i="4"/>
  <c r="I20" i="4"/>
  <c r="I21" i="4"/>
  <c r="G28" i="4"/>
  <c r="G29" i="4" s="1"/>
  <c r="F74" i="5" l="1"/>
  <c r="G74" i="5"/>
  <c r="G98" i="5" s="1"/>
  <c r="G37" i="3" s="1"/>
  <c r="H74" i="5"/>
  <c r="I74" i="5"/>
  <c r="J74" i="5"/>
  <c r="K46" i="5"/>
  <c r="L46" i="5" s="1"/>
  <c r="M46" i="5" s="1"/>
  <c r="K76" i="5"/>
  <c r="I76" i="5"/>
  <c r="D48" i="3"/>
  <c r="C30" i="11" s="1"/>
  <c r="H76" i="5"/>
  <c r="H11" i="5"/>
  <c r="L76" i="5"/>
  <c r="M48" i="5"/>
  <c r="J76" i="5"/>
  <c r="E46" i="3"/>
  <c r="E45" i="3"/>
  <c r="E44" i="3"/>
  <c r="J16" i="4"/>
  <c r="H32" i="4"/>
  <c r="H34" i="4" s="1"/>
  <c r="H27" i="4"/>
  <c r="J22" i="4"/>
  <c r="K18" i="4"/>
  <c r="J20" i="4"/>
  <c r="J21" i="4"/>
  <c r="I23" i="4"/>
  <c r="I19" i="4"/>
  <c r="C39" i="11" l="1"/>
  <c r="C41" i="11"/>
  <c r="C45" i="11"/>
  <c r="D45" i="11" s="1"/>
  <c r="C44" i="11"/>
  <c r="D44" i="11" s="1"/>
  <c r="E44" i="11" s="1"/>
  <c r="F44" i="11" s="1"/>
  <c r="G44" i="11" s="1"/>
  <c r="H44" i="11" s="1"/>
  <c r="I44" i="11" s="1"/>
  <c r="J44" i="11" s="1"/>
  <c r="K44" i="11" s="1"/>
  <c r="L44" i="11" s="1"/>
  <c r="M44" i="11" s="1"/>
  <c r="N44" i="11" s="1"/>
  <c r="F98" i="5"/>
  <c r="F13" i="5" s="1"/>
  <c r="H98" i="5"/>
  <c r="H37" i="3" s="1"/>
  <c r="I11" i="5"/>
  <c r="G49" i="5"/>
  <c r="E49" i="5"/>
  <c r="D49" i="5"/>
  <c r="F49" i="5"/>
  <c r="H49" i="5"/>
  <c r="I49" i="5"/>
  <c r="J49" i="5"/>
  <c r="K49" i="5"/>
  <c r="L49" i="5"/>
  <c r="M49" i="5"/>
  <c r="E48" i="3"/>
  <c r="E49" i="3" s="1"/>
  <c r="D32" i="11" s="1"/>
  <c r="D30" i="11" s="1"/>
  <c r="K16" i="4"/>
  <c r="I32" i="4"/>
  <c r="I34" i="4" s="1"/>
  <c r="I27" i="4"/>
  <c r="J19" i="4"/>
  <c r="J23" i="4"/>
  <c r="K22" i="4"/>
  <c r="K20" i="4"/>
  <c r="K21" i="4"/>
  <c r="H28" i="4"/>
  <c r="H29" i="4" s="1"/>
  <c r="E45" i="11" l="1"/>
  <c r="F45" i="11" s="1"/>
  <c r="G45" i="11" s="1"/>
  <c r="H45" i="11" s="1"/>
  <c r="I45" i="11" s="1"/>
  <c r="J45" i="11" s="1"/>
  <c r="K45" i="11" s="1"/>
  <c r="L45" i="11" s="1"/>
  <c r="M45" i="11" s="1"/>
  <c r="N45" i="11" s="1"/>
  <c r="D36" i="11"/>
  <c r="F37" i="3"/>
  <c r="F39" i="3" s="1"/>
  <c r="F100" i="5"/>
  <c r="F101" i="5"/>
  <c r="G13" i="5"/>
  <c r="K77" i="5"/>
  <c r="K11" i="5"/>
  <c r="H52" i="5" s="1"/>
  <c r="J77" i="5"/>
  <c r="L77" i="5"/>
  <c r="I77" i="5"/>
  <c r="I98" i="5" s="1"/>
  <c r="J11" i="5"/>
  <c r="M77" i="5"/>
  <c r="F50" i="5"/>
  <c r="D50" i="5"/>
  <c r="G50" i="5"/>
  <c r="H50" i="5"/>
  <c r="E50" i="5"/>
  <c r="I50" i="5"/>
  <c r="J50" i="5"/>
  <c r="K50" i="5"/>
  <c r="L50" i="5"/>
  <c r="M50" i="5"/>
  <c r="I28" i="4"/>
  <c r="I29" i="4" s="1"/>
  <c r="K19" i="4"/>
  <c r="K23" i="4"/>
  <c r="J32" i="4"/>
  <c r="J34" i="4" s="1"/>
  <c r="J27" i="4"/>
  <c r="E36" i="11" l="1"/>
  <c r="F36" i="11" s="1"/>
  <c r="G36" i="11" s="1"/>
  <c r="H36" i="11" s="1"/>
  <c r="I36" i="11" s="1"/>
  <c r="J36" i="11" s="1"/>
  <c r="K36" i="11" s="1"/>
  <c r="L36" i="11" s="1"/>
  <c r="M36" i="11" s="1"/>
  <c r="N36" i="11" s="1"/>
  <c r="G39" i="3"/>
  <c r="F44" i="3"/>
  <c r="F45" i="3"/>
  <c r="F46" i="3"/>
  <c r="G100" i="5"/>
  <c r="G101" i="5"/>
  <c r="H13" i="5"/>
  <c r="I37" i="3"/>
  <c r="M52" i="5"/>
  <c r="L11" i="5"/>
  <c r="L52" i="5"/>
  <c r="F52" i="5"/>
  <c r="D52" i="5"/>
  <c r="K52" i="5"/>
  <c r="E52" i="5"/>
  <c r="G52" i="5"/>
  <c r="J52" i="5"/>
  <c r="I52" i="5"/>
  <c r="L78" i="5"/>
  <c r="J78" i="5"/>
  <c r="J98" i="5" s="1"/>
  <c r="J37" i="3" s="1"/>
  <c r="M78" i="5"/>
  <c r="K78" i="5"/>
  <c r="H51" i="5"/>
  <c r="G51" i="5"/>
  <c r="I51" i="5"/>
  <c r="E51" i="5"/>
  <c r="D51" i="5"/>
  <c r="F51" i="5"/>
  <c r="J51" i="5"/>
  <c r="K51" i="5"/>
  <c r="L51" i="5"/>
  <c r="M51" i="5"/>
  <c r="J28" i="4"/>
  <c r="J29" i="4" s="1"/>
  <c r="K32" i="4"/>
  <c r="K34" i="4" s="1"/>
  <c r="K27" i="4"/>
  <c r="F48" i="3" l="1"/>
  <c r="F49" i="3" s="1"/>
  <c r="H39" i="3"/>
  <c r="G46" i="3"/>
  <c r="G44" i="3"/>
  <c r="G45" i="3"/>
  <c r="H100" i="5"/>
  <c r="H101" i="5"/>
  <c r="M80" i="5"/>
  <c r="I13" i="5"/>
  <c r="K53" i="5"/>
  <c r="E53" i="5"/>
  <c r="F53" i="5"/>
  <c r="I53" i="5"/>
  <c r="G53" i="5"/>
  <c r="H53" i="5"/>
  <c r="J53" i="5"/>
  <c r="D53" i="5"/>
  <c r="L53" i="5"/>
  <c r="M53" i="5"/>
  <c r="L80" i="5"/>
  <c r="M11" i="5"/>
  <c r="L79" i="5"/>
  <c r="K79" i="5"/>
  <c r="K98" i="5" s="1"/>
  <c r="K37" i="3" s="1"/>
  <c r="M79" i="5"/>
  <c r="K28" i="4"/>
  <c r="K29" i="4" s="1"/>
  <c r="E32" i="11" l="1"/>
  <c r="E30" i="11" s="1"/>
  <c r="G48" i="3"/>
  <c r="G49" i="3" s="1"/>
  <c r="F32" i="11" s="1"/>
  <c r="I39" i="3"/>
  <c r="H45" i="3"/>
  <c r="H46" i="3"/>
  <c r="H44" i="3"/>
  <c r="J13" i="5"/>
  <c r="I101" i="5"/>
  <c r="I100" i="5"/>
  <c r="L98" i="5"/>
  <c r="L37" i="3" s="1"/>
  <c r="I54" i="5"/>
  <c r="J54" i="5"/>
  <c r="E54" i="5"/>
  <c r="G54" i="5"/>
  <c r="F54" i="5"/>
  <c r="H54" i="5"/>
  <c r="D54" i="5"/>
  <c r="L54" i="5"/>
  <c r="K54" i="5"/>
  <c r="M54" i="5"/>
  <c r="M81" i="5"/>
  <c r="M98" i="5" s="1"/>
  <c r="E34" i="11" l="1"/>
  <c r="E38" i="11" s="1"/>
  <c r="E39" i="11" s="1"/>
  <c r="F30" i="11"/>
  <c r="H48" i="3"/>
  <c r="H49" i="3" s="1"/>
  <c r="J39" i="3"/>
  <c r="I46" i="3"/>
  <c r="I45" i="3"/>
  <c r="I44" i="3"/>
  <c r="J100" i="5"/>
  <c r="J101" i="5"/>
  <c r="K13" i="5"/>
  <c r="K101" i="5" s="1"/>
  <c r="M37" i="3"/>
  <c r="F34" i="11" l="1"/>
  <c r="F38" i="11" s="1"/>
  <c r="F39" i="11" s="1"/>
  <c r="E41" i="11"/>
  <c r="G32" i="11"/>
  <c r="G30" i="11" s="1"/>
  <c r="I48" i="3"/>
  <c r="I49" i="3" s="1"/>
  <c r="K39" i="3"/>
  <c r="J45" i="3"/>
  <c r="J44" i="3"/>
  <c r="J46" i="3"/>
  <c r="K100" i="5"/>
  <c r="L13" i="5"/>
  <c r="M13" i="5" s="1"/>
  <c r="F41" i="11" l="1"/>
  <c r="G34" i="11"/>
  <c r="G38" i="11" s="1"/>
  <c r="G39" i="11" s="1"/>
  <c r="H32" i="11"/>
  <c r="H30" i="11" s="1"/>
  <c r="J48" i="3"/>
  <c r="J49" i="3" s="1"/>
  <c r="L39" i="3"/>
  <c r="K45" i="3"/>
  <c r="K46" i="3"/>
  <c r="K44" i="3"/>
  <c r="M101" i="5"/>
  <c r="L100" i="5"/>
  <c r="L101" i="5"/>
  <c r="M100" i="5"/>
  <c r="G41" i="11" l="1"/>
  <c r="H34" i="11"/>
  <c r="H38" i="11" s="1"/>
  <c r="H39" i="11" s="1"/>
  <c r="I32" i="11"/>
  <c r="I30" i="11" s="1"/>
  <c r="K48" i="3"/>
  <c r="K49" i="3" s="1"/>
  <c r="M39" i="3"/>
  <c r="N39" i="3" s="1"/>
  <c r="L46" i="3"/>
  <c r="L44" i="3"/>
  <c r="L45" i="3"/>
  <c r="O39" i="3" l="1"/>
  <c r="N45" i="3"/>
  <c r="N44" i="3"/>
  <c r="N46" i="3"/>
  <c r="H41" i="11"/>
  <c r="I34" i="11"/>
  <c r="I38" i="11" s="1"/>
  <c r="I39" i="11" s="1"/>
  <c r="I41" i="11"/>
  <c r="J32" i="11"/>
  <c r="J30" i="11" s="1"/>
  <c r="L48" i="3"/>
  <c r="L49" i="3" s="1"/>
  <c r="M46" i="3"/>
  <c r="M45" i="3"/>
  <c r="M44" i="3"/>
  <c r="N48" i="3" l="1"/>
  <c r="O44" i="3"/>
  <c r="O45" i="3"/>
  <c r="O46" i="3"/>
  <c r="J34" i="11"/>
  <c r="J38" i="11" s="1"/>
  <c r="J39" i="11" s="1"/>
  <c r="K32" i="11"/>
  <c r="K30" i="11" s="1"/>
  <c r="M48" i="3"/>
  <c r="J41" i="11" l="1"/>
  <c r="O48" i="3"/>
  <c r="O49" i="3" s="1"/>
  <c r="N32" i="11" s="1"/>
  <c r="M49" i="3"/>
  <c r="N49" i="3"/>
  <c r="M32" i="11" s="1"/>
  <c r="K34" i="11"/>
  <c r="K38" i="11" s="1"/>
  <c r="K39" i="11" s="1"/>
  <c r="L32" i="11"/>
  <c r="L30" i="11" s="1"/>
  <c r="K41" i="11" l="1"/>
  <c r="L34" i="11"/>
  <c r="L38" i="11" s="1"/>
  <c r="L39" i="11" s="1"/>
  <c r="M30" i="11"/>
  <c r="L41" i="11" l="1"/>
  <c r="M34" i="11"/>
  <c r="M38" i="11" s="1"/>
  <c r="M39" i="11" s="1"/>
  <c r="M41" i="11"/>
  <c r="N38" i="11" l="1"/>
  <c r="N39" i="11" s="1"/>
  <c r="N41" i="11"/>
  <c r="D34" i="11"/>
  <c r="D38" i="11" s="1"/>
  <c r="D39" i="11" l="1"/>
  <c r="D41" i="11"/>
  <c r="B15" i="9"/>
  <c r="C15" i="9"/>
  <c r="D15" i="9"/>
  <c r="E15" i="9"/>
  <c r="F15" i="9"/>
  <c r="G15" i="9"/>
  <c r="H15" i="9"/>
  <c r="B25" i="9"/>
  <c r="C25" i="9"/>
  <c r="D25" i="9"/>
  <c r="E25" i="9"/>
  <c r="F25" i="9"/>
  <c r="G25" i="9"/>
  <c r="H25" i="9"/>
  <c r="B36" i="9"/>
  <c r="C36" i="9"/>
  <c r="D36" i="9"/>
  <c r="E36" i="9"/>
  <c r="F36" i="9"/>
  <c r="G36" i="9"/>
  <c r="H36" i="9"/>
  <c r="B37" i="9"/>
  <c r="C37" i="9"/>
  <c r="D37" i="9"/>
  <c r="E37" i="9"/>
  <c r="F37" i="9"/>
  <c r="G37" i="9"/>
  <c r="H37" i="9"/>
  <c r="B94" i="9"/>
  <c r="C94" i="9"/>
  <c r="D94" i="9"/>
  <c r="E94" i="9"/>
  <c r="F94" i="9"/>
  <c r="G94" i="9"/>
  <c r="H94" i="9"/>
  <c r="B100" i="9"/>
  <c r="C100" i="9"/>
  <c r="D100" i="9"/>
  <c r="E100" i="9"/>
  <c r="F100" i="9"/>
  <c r="G100" i="9"/>
  <c r="H100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Matan Feldman</author>
  </authors>
  <commentList>
    <comment ref="C66" authorId="0" shapeId="0" xr:uid="{7698631E-3F95-4C4D-8964-5EB13FD9E543}">
      <text>
        <r>
          <rPr>
            <sz val="9"/>
            <color indexed="81"/>
            <rFont val="Tahoma"/>
            <family val="2"/>
          </rPr>
          <t xml:space="preserve">Technician Service on Vehicle </t>
        </r>
      </text>
    </comment>
    <comment ref="C71" authorId="0" shapeId="0" xr:uid="{AE4B804E-6E06-4CE2-8679-E076252AC652}">
      <text>
        <r>
          <rPr>
            <sz val="9"/>
            <color indexed="81"/>
            <rFont val="Tahoma"/>
            <family val="2"/>
          </rPr>
          <t xml:space="preserve">Technician Service on Vehicle </t>
        </r>
      </text>
    </comment>
    <comment ref="C76" authorId="0" shapeId="0" xr:uid="{49474547-02FA-4E03-8187-07B5BABE7352}">
      <text>
        <r>
          <rPr>
            <sz val="9"/>
            <color indexed="81"/>
            <rFont val="Tahoma"/>
            <family val="2"/>
          </rPr>
          <t xml:space="preserve"> Digital Content and Services, AppleCare, Apple Pay, licensing and other services. </t>
        </r>
      </text>
    </comment>
    <comment ref="C77" authorId="0" shapeId="0" xr:uid="{434BAE9F-BB04-494C-839C-8FD88E457A83}">
      <text>
        <r>
          <rPr>
            <sz val="9"/>
            <color indexed="81"/>
            <rFont val="Tahoma"/>
            <family val="2"/>
          </rPr>
          <t xml:space="preserve"> AirPods, Apple TV, Apple Watch, Beats products, HomePod, iPod touch and other Apple-branded and third-party accessories.</t>
        </r>
      </text>
    </comment>
    <comment ref="C83" authorId="0" shapeId="0" xr:uid="{9A252BF1-07F6-40A1-B2C9-FFF95AFF7C41}">
      <text>
        <r>
          <rPr>
            <sz val="9"/>
            <color indexed="81"/>
            <rFont val="Tahoma"/>
            <family val="2"/>
          </rPr>
          <t xml:space="preserve"> Digital Content and Services, AppleCare, Apple Pay, licensing and other services. </t>
        </r>
      </text>
    </comment>
    <comment ref="C84" authorId="0" shapeId="0" xr:uid="{8C8252F7-ED08-4BA2-95F6-CC1807D4B707}">
      <text>
        <r>
          <rPr>
            <sz val="9"/>
            <color indexed="81"/>
            <rFont val="Tahoma"/>
            <family val="2"/>
          </rPr>
          <t xml:space="preserve"> AirPods, Apple TV, Apple Watch, Beats products, HomePod, iPod touch and other Apple-branded and third-party accessories.</t>
        </r>
      </text>
    </comment>
  </commentList>
</comments>
</file>

<file path=xl/sharedStrings.xml><?xml version="1.0" encoding="utf-8"?>
<sst xmlns="http://schemas.openxmlformats.org/spreadsheetml/2006/main" count="341" uniqueCount="281">
  <si>
    <t>Total</t>
  </si>
  <si>
    <t>Gross Profit</t>
  </si>
  <si>
    <t>Growth rates &amp; margins</t>
  </si>
  <si>
    <t>Revenue growth</t>
  </si>
  <si>
    <t>Gross profit margin</t>
  </si>
  <si>
    <t>R&amp;D % of sales</t>
  </si>
  <si>
    <t>SG&amp;A % of sales</t>
  </si>
  <si>
    <t>Tax rate</t>
  </si>
  <si>
    <t>Previous year's revenues x (1+revenue growth rate)</t>
  </si>
  <si>
    <t>% growth</t>
  </si>
  <si>
    <t>x</t>
  </si>
  <si>
    <t>$ mm except per share</t>
  </si>
  <si>
    <t>Company name</t>
  </si>
  <si>
    <t>Apple</t>
  </si>
  <si>
    <t>Ticker</t>
  </si>
  <si>
    <t>AAPL</t>
  </si>
  <si>
    <t>Circ break 1=off, 0=on</t>
  </si>
  <si>
    <t>Latest closing share price date</t>
  </si>
  <si>
    <t>Latest fiscal year end date</t>
  </si>
  <si>
    <t>Select an operating scenario:</t>
  </si>
  <si>
    <t>Base case</t>
  </si>
  <si>
    <t>INCOME STATEMENT</t>
  </si>
  <si>
    <t xml:space="preserve">Fiscal year  </t>
  </si>
  <si>
    <t>Fiscal year end date</t>
  </si>
  <si>
    <t>WSP Comments</t>
  </si>
  <si>
    <t>Revenue</t>
  </si>
  <si>
    <t>Cost of sales (enter as -)</t>
  </si>
  <si>
    <t>Plug = Revenue - Gross Profit</t>
  </si>
  <si>
    <t>Revenue x Gross Profit Margin forecast</t>
  </si>
  <si>
    <t>Research &amp; development (enter as -)</t>
  </si>
  <si>
    <t>Revenue x R&amp;D % of sales forecast</t>
  </si>
  <si>
    <t>Selling, general &amp; administrative (enter as -)</t>
  </si>
  <si>
    <t>Revenue x SG&amp;A % of sales forecast</t>
  </si>
  <si>
    <t>Operating profit (EBIT)</t>
  </si>
  <si>
    <t>Gross Profit - R&amp;D - SG&amp;A</t>
  </si>
  <si>
    <t>Interest income</t>
  </si>
  <si>
    <t>Reference from interest on cash schedule</t>
  </si>
  <si>
    <t>Interest expense (enter as -)</t>
  </si>
  <si>
    <t>Reference from interest expense schedule</t>
  </si>
  <si>
    <t>Other expense, net (enter as -)</t>
  </si>
  <si>
    <t>Straight-line</t>
  </si>
  <si>
    <t>Pretax profit</t>
  </si>
  <si>
    <t>EBIT + interest income less interest expense less other expense</t>
  </si>
  <si>
    <t>Taxes (enter expense as -)</t>
  </si>
  <si>
    <t>Pre-tax Profit x Tax Rate forecast</t>
  </si>
  <si>
    <t>Net income</t>
  </si>
  <si>
    <t>Pre-tax Profit less taxes</t>
  </si>
  <si>
    <t>Depreciation &amp; amortization</t>
  </si>
  <si>
    <t>Reference from D&amp;A schedule</t>
  </si>
  <si>
    <t>EBITDA</t>
  </si>
  <si>
    <t>EBIT + D&amp;A</t>
  </si>
  <si>
    <t>Stock based compensation</t>
  </si>
  <si>
    <t>WSP assumption: grow SBC in-line with revenue growth</t>
  </si>
  <si>
    <t>Adjusted EBITDA</t>
  </si>
  <si>
    <t>EBITDA + Stock-based compensation</t>
  </si>
  <si>
    <t>From scenario analysis below</t>
  </si>
  <si>
    <t>JP Morgan estimates through 2021: straight-line margin thereafter</t>
  </si>
  <si>
    <t>Activation</t>
  </si>
  <si>
    <t xml:space="preserve">Using </t>
  </si>
  <si>
    <t>Total Activated</t>
  </si>
  <si>
    <t>Subscription Conversion</t>
  </si>
  <si>
    <t>Number of Free Users</t>
  </si>
  <si>
    <t>people</t>
  </si>
  <si>
    <t>Number of Subscribers</t>
  </si>
  <si>
    <t>Subscription Fee</t>
  </si>
  <si>
    <t>Users</t>
  </si>
  <si>
    <t>NEW Yearly Number of Subscribers</t>
  </si>
  <si>
    <t>Cumulative Premium Subscribers</t>
  </si>
  <si>
    <t>Plan A</t>
  </si>
  <si>
    <t>Plan B</t>
  </si>
  <si>
    <t>Plan C</t>
  </si>
  <si>
    <t xml:space="preserve">Total Subscription Revenue </t>
  </si>
  <si>
    <t>Activation %</t>
  </si>
  <si>
    <t>Assume % of customers we could get from our potetnial pool</t>
  </si>
  <si>
    <t xml:space="preserve">How can we model growth? </t>
  </si>
  <si>
    <t>Assume % Subs in Plan</t>
  </si>
  <si>
    <t>Lost Users</t>
  </si>
  <si>
    <t xml:space="preserve">This should cover intrest in new tech </t>
  </si>
  <si>
    <t>New customers</t>
  </si>
  <si>
    <t>Total Customers</t>
  </si>
  <si>
    <t>Cohort Retention</t>
  </si>
  <si>
    <t>Cohort Count</t>
  </si>
  <si>
    <t>Cohort Attrition</t>
  </si>
  <si>
    <t>Total Attrition</t>
  </si>
  <si>
    <t>Attrition %</t>
  </si>
  <si>
    <t>Yr</t>
  </si>
  <si>
    <t>Inputs Rev</t>
  </si>
  <si>
    <t xml:space="preserve">  -You offer a subscription service that includes upgrades or replacements</t>
  </si>
  <si>
    <t>COST item</t>
  </si>
  <si>
    <t>Month</t>
  </si>
  <si>
    <t>Starting Value</t>
  </si>
  <si>
    <t>Increment Value</t>
  </si>
  <si>
    <t>Max Value</t>
  </si>
  <si>
    <t>Technicians</t>
  </si>
  <si>
    <t>Head Count</t>
  </si>
  <si>
    <t>Total Compensation</t>
  </si>
  <si>
    <t>Rev</t>
  </si>
  <si>
    <t>Single Product</t>
  </si>
  <si>
    <t>Churn</t>
  </si>
  <si>
    <t>Requires Tech Team</t>
  </si>
  <si>
    <t xml:space="preserve">Subscription Service </t>
  </si>
  <si>
    <t>Battery Degredation</t>
  </si>
  <si>
    <t>Growth Forecast</t>
  </si>
  <si>
    <t>Total People who own an EV</t>
  </si>
  <si>
    <t>EV Market growth</t>
  </si>
  <si>
    <t xml:space="preserve">    EV Market growth</t>
  </si>
  <si>
    <t>Cost</t>
  </si>
  <si>
    <t>Production</t>
  </si>
  <si>
    <t>Logistics</t>
  </si>
  <si>
    <t xml:space="preserve">Recycling the battery </t>
  </si>
  <si>
    <t>ChargerHelp, Inc.</t>
  </si>
  <si>
    <t>Profit and Loss</t>
  </si>
  <si>
    <t>January - June, 2023</t>
  </si>
  <si>
    <t>Jan 2023</t>
  </si>
  <si>
    <t>Feb 2023</t>
  </si>
  <si>
    <t>Mar 2023</t>
  </si>
  <si>
    <t>Apr 2023</t>
  </si>
  <si>
    <t>May 2023</t>
  </si>
  <si>
    <t>Jun 2023</t>
  </si>
  <si>
    <t>Income</t>
  </si>
  <si>
    <t xml:space="preserve">   40000 Technician Maintenance &amp; Repairs Income</t>
  </si>
  <si>
    <t xml:space="preserve">      40100 Campaigns</t>
  </si>
  <si>
    <t xml:space="preserve">   Total 40000 Technician Maintenance &amp; Repairs Income</t>
  </si>
  <si>
    <t xml:space="preserve">   44000 Workforce Development &amp; Training Income</t>
  </si>
  <si>
    <t xml:space="preserve">   45000 Reliability as a Service (RaaS) Income</t>
  </si>
  <si>
    <t xml:space="preserve">   46000 Warranty Revenue</t>
  </si>
  <si>
    <t>Total Income</t>
  </si>
  <si>
    <t>Cost of Goods Sold</t>
  </si>
  <si>
    <t xml:space="preserve">   50000 Technician Costs</t>
  </si>
  <si>
    <t xml:space="preserve">      50010 Technician Salaries</t>
  </si>
  <si>
    <t xml:space="preserve">      50020 Technician Taxes</t>
  </si>
  <si>
    <t xml:space="preserve">      50030 Technician Benefits</t>
  </si>
  <si>
    <t xml:space="preserve">      50040 Technician Tool Costs</t>
  </si>
  <si>
    <t xml:space="preserve">      50050 Technician Parking Charges</t>
  </si>
  <si>
    <t xml:space="preserve">      50060 Technician Toll Fees</t>
  </si>
  <si>
    <t xml:space="preserve">      50070 Technician - Travel Expense</t>
  </si>
  <si>
    <t xml:space="preserve">      50085 Technician EV costs</t>
  </si>
  <si>
    <t xml:space="preserve">      50095 Technician - Per Diem</t>
  </si>
  <si>
    <t xml:space="preserve">   Total 50000 Technician Costs</t>
  </si>
  <si>
    <t xml:space="preserve">   53000 Contractor Costs</t>
  </si>
  <si>
    <t xml:space="preserve">      53200 Contractor Costs</t>
  </si>
  <si>
    <t xml:space="preserve">   Total 53000 Contractor Costs</t>
  </si>
  <si>
    <t xml:space="preserve">   55000 Workforce Development Training Costs</t>
  </si>
  <si>
    <t xml:space="preserve">      55100 Training Personnel</t>
  </si>
  <si>
    <t xml:space="preserve">      55120 Training Personnel Taxes</t>
  </si>
  <si>
    <t xml:space="preserve">      55130 Training Personnel Benefits</t>
  </si>
  <si>
    <t xml:space="preserve">      55200 Other Training Costs</t>
  </si>
  <si>
    <t xml:space="preserve">   Total 55000 Workforce Development Training Costs</t>
  </si>
  <si>
    <t xml:space="preserve">   Inventory Shrinkage</t>
  </si>
  <si>
    <t>Total Cost of Goods Sold</t>
  </si>
  <si>
    <t>Expenses</t>
  </si>
  <si>
    <t xml:space="preserve">   60100 Personnel Costs</t>
  </si>
  <si>
    <t xml:space="preserve">      60110 Salaries &amp; Wages</t>
  </si>
  <si>
    <t xml:space="preserve">      60120 Payroll Taxes</t>
  </si>
  <si>
    <t xml:space="preserve">      60140 Employee Benefits</t>
  </si>
  <si>
    <t xml:space="preserve">   Total 60100 Personnel Costs</t>
  </si>
  <si>
    <t xml:space="preserve">   61000 Professional Fees</t>
  </si>
  <si>
    <t xml:space="preserve">      61010 Finance and Accounting Fees</t>
  </si>
  <si>
    <t xml:space="preserve">      61020 Legal Fees</t>
  </si>
  <si>
    <t xml:space="preserve">      61030 Consulting Fees - Grant Writing</t>
  </si>
  <si>
    <t xml:space="preserve">      61050 Consulting Fees - Technology</t>
  </si>
  <si>
    <t xml:space="preserve">      61055 Consulting Fees - Gov't Relations</t>
  </si>
  <si>
    <t xml:space="preserve">      61060 Professional Fees - Recruitment</t>
  </si>
  <si>
    <t xml:space="preserve">      61080 Other Consulting Fees</t>
  </si>
  <si>
    <t xml:space="preserve">   Total 61000 Professional Fees</t>
  </si>
  <si>
    <t xml:space="preserve">   62000 Marketing &amp; Advertising</t>
  </si>
  <si>
    <t xml:space="preserve">      62010 Advertising/Promotional</t>
  </si>
  <si>
    <t xml:space="preserve">      62020 Events/Sponsorship</t>
  </si>
  <si>
    <t xml:space="preserve">   Total 62000 Marketing &amp; Advertising</t>
  </si>
  <si>
    <t xml:space="preserve">   63000 General Office Expenses</t>
  </si>
  <si>
    <t xml:space="preserve">      63001 Donations</t>
  </si>
  <si>
    <t xml:space="preserve">      63010 Office Supplies</t>
  </si>
  <si>
    <t xml:space="preserve">      63011 Other Office Expenses</t>
  </si>
  <si>
    <t xml:space="preserve">      63015 Education &amp; Training</t>
  </si>
  <si>
    <t xml:space="preserve">      63020 Bank Charges &amp; Fees</t>
  </si>
  <si>
    <t xml:space="preserve">      63040 Other Business Expenses</t>
  </si>
  <si>
    <t xml:space="preserve">      63050 Dues and Subscriptions</t>
  </si>
  <si>
    <t xml:space="preserve">      63060 Freight, Postage and Delivery</t>
  </si>
  <si>
    <t xml:space="preserve">      63065 Software License Expense</t>
  </si>
  <si>
    <t xml:space="preserve">      63070 Processing &amp; Service Fees</t>
  </si>
  <si>
    <t xml:space="preserve">         63071 Payroll Processing Cost</t>
  </si>
  <si>
    <t xml:space="preserve">      Total 63070 Processing &amp; Service Fees</t>
  </si>
  <si>
    <t xml:space="preserve">      63080 Groceries</t>
  </si>
  <si>
    <t xml:space="preserve">      63085 Meals</t>
  </si>
  <si>
    <t xml:space="preserve">      63090 Software, Data &amp; Web Hosting Services</t>
  </si>
  <si>
    <t xml:space="preserve">   Total 63000 General Office Expenses</t>
  </si>
  <si>
    <t xml:space="preserve">   65000 Travel &amp; Transportation</t>
  </si>
  <si>
    <t xml:space="preserve">      65001 Travel Expense</t>
  </si>
  <si>
    <t xml:space="preserve">      65002 Airfare</t>
  </si>
  <si>
    <t xml:space="preserve">      65010 Gas/Fuel</t>
  </si>
  <si>
    <t xml:space="preserve">      65020 Accommodation</t>
  </si>
  <si>
    <t xml:space="preserve">      65050 Parking</t>
  </si>
  <si>
    <t xml:space="preserve">   Total 65000 Travel &amp; Transportation</t>
  </si>
  <si>
    <t xml:space="preserve">   66000 Facilities</t>
  </si>
  <si>
    <t xml:space="preserve">      66001 Rent Expense</t>
  </si>
  <si>
    <t xml:space="preserve">      66030 Telephone Expense</t>
  </si>
  <si>
    <t xml:space="preserve">      66060 Expensed Equipment</t>
  </si>
  <si>
    <t xml:space="preserve">      66070 Cable &amp; Radio Expenses</t>
  </si>
  <si>
    <t xml:space="preserve">   Total 66000 Facilities</t>
  </si>
  <si>
    <t xml:space="preserve">   69000 Insurance Expense</t>
  </si>
  <si>
    <t xml:space="preserve">   90000 Taxes &amp; Licenses</t>
  </si>
  <si>
    <t xml:space="preserve">      90010 State &amp; Local Taxes</t>
  </si>
  <si>
    <t xml:space="preserve">   Total 90000 Taxes &amp; Licenses</t>
  </si>
  <si>
    <t xml:space="preserve">   90020 Local Taxes</t>
  </si>
  <si>
    <t xml:space="preserve">   QuickBooks Payments Fees</t>
  </si>
  <si>
    <t>Total Expenses</t>
  </si>
  <si>
    <t>Net Operating Income</t>
  </si>
  <si>
    <t>Other Income</t>
  </si>
  <si>
    <t xml:space="preserve">   70000 Other Income</t>
  </si>
  <si>
    <t xml:space="preserve">   70020 Interest Income</t>
  </si>
  <si>
    <t>Total Other Income</t>
  </si>
  <si>
    <t>Net Other Income</t>
  </si>
  <si>
    <t>Net Income</t>
  </si>
  <si>
    <t>Tuesday, Jul 18, 2023 08:52:15 AM GMT-7 - Accrual Basis</t>
  </si>
  <si>
    <t>Salaries</t>
  </si>
  <si>
    <t>Revenue Generated</t>
  </si>
  <si>
    <t>User Retention</t>
  </si>
  <si>
    <t>Every X Years</t>
  </si>
  <si>
    <t>Avg All in Compensation</t>
  </si>
  <si>
    <t>Max Per Year/Head Count</t>
  </si>
  <si>
    <t>VC</t>
  </si>
  <si>
    <t>Operations</t>
  </si>
  <si>
    <t>Starting Year</t>
  </si>
  <si>
    <t>Battery Production Facility</t>
  </si>
  <si>
    <t>Total Cost of Battery Production</t>
  </si>
  <si>
    <t>Max Per Year/Facility</t>
  </si>
  <si>
    <t>Adoption Rate %</t>
  </si>
  <si>
    <t>Number of Customers</t>
  </si>
  <si>
    <t>Subscription Conversion %</t>
  </si>
  <si>
    <t>Batteries degarde 1.8% per yer</t>
  </si>
  <si>
    <t>Assume Price / customer</t>
  </si>
  <si>
    <t>Labor</t>
  </si>
  <si>
    <t>Rate</t>
  </si>
  <si>
    <t>Total Pay</t>
  </si>
  <si>
    <t>Rent</t>
  </si>
  <si>
    <t>Electric</t>
  </si>
  <si>
    <t>Phone</t>
  </si>
  <si>
    <t>Internet</t>
  </si>
  <si>
    <t>Water</t>
  </si>
  <si>
    <t>Insurance</t>
  </si>
  <si>
    <t>Accounting/Legal</t>
  </si>
  <si>
    <t>Other</t>
  </si>
  <si>
    <t>Days in Month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</si>
  <si>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</si>
  <si>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</si>
  <si>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</si>
  <si>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</si>
  <si>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</si>
  <si>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</si>
  <si>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</si>
  <si>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</si>
  <si>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</si>
  <si>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</si>
  <si>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</si>
  <si>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</si>
  <si>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12 Month P&amp;L Statement - 12 month Cash Budget</t>
  </si>
  <si>
    <t>Revenues</t>
  </si>
  <si>
    <t>Advertising</t>
  </si>
  <si>
    <t>A</t>
  </si>
  <si>
    <t>P</t>
  </si>
  <si>
    <t xml:space="preserve">   Salary</t>
  </si>
  <si>
    <t xml:space="preserve">   Labor</t>
  </si>
  <si>
    <t xml:space="preserve">   Fixed Costs</t>
  </si>
  <si>
    <t>Production Cost</t>
  </si>
  <si>
    <t>Common Size</t>
  </si>
  <si>
    <t>Ref Growth Forecast</t>
  </si>
  <si>
    <t>Ref Headcount Forecast</t>
  </si>
  <si>
    <t xml:space="preserve">   Production Cost</t>
  </si>
  <si>
    <t>COGS</t>
  </si>
  <si>
    <t>Taxes</t>
  </si>
  <si>
    <t>Tool Cost</t>
  </si>
  <si>
    <t>Parking Charges</t>
  </si>
  <si>
    <t>Toll fees</t>
  </si>
  <si>
    <t>Travel Expenses</t>
  </si>
  <si>
    <t>Daily Labor Costs</t>
  </si>
  <si>
    <t>Fixed Monthly Information</t>
  </si>
  <si>
    <t>Revenue Growth</t>
  </si>
  <si>
    <t>Qty</t>
  </si>
  <si>
    <t>Battery Replacement</t>
  </si>
  <si>
    <t xml:space="preserve">Recycling </t>
  </si>
  <si>
    <t>Meals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</si>
</sst>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6" formatCode="&quot;$&quot;#,##0_);[Red]\(&quot;$&quot;#,##0\)"/>
    <numFmt numFmtId="44" formatCode="_(&quot;$&quot;* #,##0.00_);_(&quot;$&quot;* \(#,##0.00\);_(&quot;$&quot;* &quot;-&quot;??_);_(@_)"/>
    <numFmt numFmtId="164" formatCode="0.0%_);\(0.0%\);@_)"/>
    <numFmt numFmtId="165" formatCode="0\A;[Red]0\A"/>
    <numFmt numFmtId="166" formatCode="0\P_);\(0\P\)"/>
    <numFmt numFmtId="167" formatCode="m/d/yy;@"/>
    <numFmt numFmtId="171" formatCode="_(#,##0_)_%;\(#,##0\)_%;_(&quot;–&quot;_)_%;_(@_)_%"/>
    <numFmt numFmtId="172" formatCode="0.0%"/>
    <numFmt numFmtId="173" formatCode="#,##0\ &quot;EVs&quot;"/>
    <numFmt numFmtId="174" formatCode="0\P;[Red]0\P"/>
    <numFmt numFmtId="175" formatCode="&quot;$&quot;#,##0"/>
    <numFmt numFmtId="176" formatCode="&quot;$&quot;#,##0.00"/>
    <numFmt numFmtId="177" formatCode="#,##0\ &quot;EVs&quot;;[Red]\(#,##0\ &quot;EVs&quot;\)"/>
    <numFmt numFmtId="178" formatCode="0_ ;[Red]\-0\ "/>
    <numFmt numFmtId="183" formatCode="_-* #,##0.00_-;\-* #,##0.00_-;_-* &quot;-&quot;??_-;_-@_-"/>
    <numFmt numFmtId="184" formatCode="_-* #,##0_-;\-* #,##0_-;_-* &quot;-&quot;??_-;_-@_-"/>
    <numFmt numFmtId="186" formatCode="_-&quot;$&quot;* #,##0_-;\-&quot;$&quot;* #,##0_-;_-&quot;$&quot;* &quot;-&quot;??_-;_-@_-"/>
    <numFmt numFmtId="187" formatCode="#,##0.00\ _€"/>
    <numFmt numFmtId="188" formatCode="&quot;$&quot;* #,##0.00\ _€"/>
    <numFmt numFmtId="191" formatCode="&quot;$&quot;#,##0;[Red]&quot;$&quot;#,##0"/>
    <numFmt numFmtId="192" formatCode="&quot;$&quot;#,##0.00;[Red]&quot;$&quot;#,##0.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i/>
      <sz val="11"/>
      <color rgb="FF0000FF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FF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color rgb="FF3366FF"/>
      <name val="Arial"/>
      <family val="2"/>
    </font>
    <font>
      <u/>
      <sz val="10"/>
      <name val="Arial"/>
      <family val="2"/>
    </font>
    <font>
      <i/>
      <sz val="11"/>
      <color rgb="FF0070C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4"/>
      <color indexed="8"/>
      <name val="Arial"/>
      <family val="2"/>
    </font>
    <font>
      <b/>
      <sz val="10"/>
      <color indexed="8"/>
      <name val="Arial"/>
      <family val="2"/>
    </font>
    <font>
      <b/>
      <sz val="9"/>
      <color indexed="8"/>
      <name val="Arial"/>
      <family val="2"/>
    </font>
    <font>
      <sz val="8"/>
      <color indexed="8"/>
      <name val="Arial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CCCCC"/>
        <bgColor rgb="FFCCCCCC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rgb="FFD9EAD3"/>
      </patternFill>
    </fill>
    <fill>
      <patternFill patternType="solid">
        <fgColor rgb="FFD9EAD3"/>
        <bgColor rgb="FFD9EAD3"/>
      </patternFill>
    </fill>
    <fill>
      <patternFill patternType="solid">
        <fgColor theme="4" tint="0.3999450666829432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0"/>
    <xf numFmtId="44" fontId="1" fillId="0" borderId="0" applyFont="0" applyFill="0" applyBorder="0" applyAlignment="0" applyProtection="0"/>
    <xf numFmtId="0" fontId="20" fillId="0" borderId="0"/>
    <xf numFmtId="183" fontId="20" fillId="0" borderId="0" applyFont="0" applyFill="0" applyBorder="0" applyAlignment="0" applyProtection="0"/>
  </cellStyleXfs>
  <cellXfs count="112">
    <xf numFmtId="0" fontId="0" fillId="0" borderId="0" xfId="0"/>
    <xf numFmtId="0" fontId="4" fillId="0" borderId="0" xfId="2" applyFont="1" applyAlignment="1">
      <alignment horizontal="left" wrapText="1"/>
    </xf>
    <xf numFmtId="0" fontId="5" fillId="0" borderId="0" xfId="0" applyFont="1"/>
    <xf numFmtId="0" fontId="0" fillId="0" borderId="0" xfId="0" applyAlignment="1">
      <alignment horizontal="left" indent="1"/>
    </xf>
    <xf numFmtId="164" fontId="6" fillId="0" borderId="0" xfId="0" applyNumberFormat="1" applyFont="1"/>
    <xf numFmtId="164" fontId="7" fillId="0" borderId="0" xfId="0" applyNumberFormat="1" applyFont="1"/>
    <xf numFmtId="0" fontId="2" fillId="0" borderId="3" xfId="0" applyFont="1" applyBorder="1"/>
    <xf numFmtId="0" fontId="8" fillId="0" borderId="3" xfId="0" applyFont="1" applyBorder="1"/>
    <xf numFmtId="0" fontId="0" fillId="0" borderId="3" xfId="0" applyBorder="1"/>
    <xf numFmtId="165" fontId="9" fillId="0" borderId="0" xfId="0" applyNumberFormat="1" applyFont="1"/>
    <xf numFmtId="0" fontId="10" fillId="0" borderId="0" xfId="0" applyFont="1"/>
    <xf numFmtId="167" fontId="11" fillId="0" borderId="0" xfId="0" applyNumberFormat="1" applyFont="1"/>
    <xf numFmtId="0" fontId="6" fillId="0" borderId="0" xfId="0" applyFont="1"/>
    <xf numFmtId="37" fontId="7" fillId="0" borderId="0" xfId="0" applyNumberFormat="1" applyFont="1"/>
    <xf numFmtId="6" fontId="0" fillId="0" borderId="0" xfId="0" applyNumberFormat="1"/>
    <xf numFmtId="3" fontId="0" fillId="0" borderId="0" xfId="0" applyNumberFormat="1"/>
    <xf numFmtId="37" fontId="6" fillId="0" borderId="0" xfId="0" applyNumberFormat="1" applyFont="1"/>
    <xf numFmtId="0" fontId="2" fillId="0" borderId="0" xfId="0" applyFont="1"/>
    <xf numFmtId="0" fontId="0" fillId="0" borderId="0" xfId="0" applyAlignment="1">
      <alignment horizontal="left" indent="2"/>
    </xf>
    <xf numFmtId="164" fontId="0" fillId="0" borderId="0" xfId="0" applyNumberFormat="1"/>
    <xf numFmtId="0" fontId="2" fillId="0" borderId="4" xfId="0" applyFont="1" applyBorder="1"/>
    <xf numFmtId="0" fontId="0" fillId="0" borderId="4" xfId="0" applyBorder="1"/>
    <xf numFmtId="14" fontId="11" fillId="0" borderId="0" xfId="0" applyNumberFormat="1" applyFont="1" applyAlignment="1">
      <alignment horizontal="left"/>
    </xf>
    <xf numFmtId="0" fontId="0" fillId="0" borderId="5" xfId="0" applyBorder="1"/>
    <xf numFmtId="0" fontId="7" fillId="0" borderId="0" xfId="0" applyFont="1" applyAlignment="1">
      <alignment horizontal="center"/>
    </xf>
    <xf numFmtId="171" fontId="7" fillId="2" borderId="6" xfId="0" applyNumberFormat="1" applyFont="1" applyFill="1" applyBorder="1" applyAlignment="1">
      <alignment horizontal="center"/>
    </xf>
    <xf numFmtId="14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5" fontId="2" fillId="0" borderId="0" xfId="0" applyNumberFormat="1" applyFont="1"/>
    <xf numFmtId="166" fontId="2" fillId="0" borderId="0" xfId="0" applyNumberFormat="1" applyFont="1"/>
    <xf numFmtId="0" fontId="10" fillId="0" borderId="3" xfId="0" applyFont="1" applyBorder="1"/>
    <xf numFmtId="167" fontId="10" fillId="0" borderId="1" xfId="0" applyNumberFormat="1" applyFont="1" applyBorder="1"/>
    <xf numFmtId="0" fontId="2" fillId="0" borderId="1" xfId="0" applyFont="1" applyBorder="1"/>
    <xf numFmtId="0" fontId="0" fillId="0" borderId="1" xfId="0" applyBorder="1"/>
    <xf numFmtId="167" fontId="13" fillId="0" borderId="0" xfId="0" applyNumberFormat="1" applyFont="1"/>
    <xf numFmtId="167" fontId="10" fillId="0" borderId="0" xfId="0" applyNumberFormat="1" applyFont="1"/>
    <xf numFmtId="9" fontId="10" fillId="0" borderId="0" xfId="0" applyNumberFormat="1" applyFont="1"/>
    <xf numFmtId="172" fontId="10" fillId="0" borderId="0" xfId="0" applyNumberFormat="1" applyFont="1"/>
    <xf numFmtId="37" fontId="9" fillId="0" borderId="0" xfId="0" applyNumberFormat="1" applyFont="1"/>
    <xf numFmtId="0" fontId="0" fillId="0" borderId="0" xfId="0" quotePrefix="1"/>
    <xf numFmtId="37" fontId="0" fillId="0" borderId="0" xfId="0" applyNumberForma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4" fontId="0" fillId="0" borderId="0" xfId="0" applyNumberFormat="1"/>
    <xf numFmtId="174" fontId="9" fillId="0" borderId="0" xfId="0" applyNumberFormat="1" applyFont="1"/>
    <xf numFmtId="9" fontId="0" fillId="0" borderId="0" xfId="0" applyNumberFormat="1"/>
    <xf numFmtId="10" fontId="0" fillId="0" borderId="0" xfId="0" applyNumberFormat="1"/>
    <xf numFmtId="173" fontId="14" fillId="0" borderId="0" xfId="0" applyNumberFormat="1" applyFont="1"/>
    <xf numFmtId="0" fontId="0" fillId="3" borderId="0" xfId="0" applyFill="1"/>
    <xf numFmtId="10" fontId="0" fillId="3" borderId="0" xfId="0" applyNumberFormat="1" applyFill="1"/>
    <xf numFmtId="176" fontId="0" fillId="3" borderId="0" xfId="0" applyNumberFormat="1" applyFill="1"/>
    <xf numFmtId="175" fontId="14" fillId="0" borderId="0" xfId="0" applyNumberFormat="1" applyFont="1"/>
    <xf numFmtId="9" fontId="0" fillId="3" borderId="0" xfId="0" applyNumberFormat="1" applyFill="1"/>
    <xf numFmtId="175" fontId="15" fillId="0" borderId="0" xfId="0" applyNumberFormat="1" applyFont="1"/>
    <xf numFmtId="173" fontId="14" fillId="0" borderId="2" xfId="0" applyNumberFormat="1" applyFont="1" applyBorder="1"/>
    <xf numFmtId="177" fontId="14" fillId="0" borderId="0" xfId="0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9" fontId="17" fillId="3" borderId="0" xfId="1" applyFont="1" applyFill="1"/>
    <xf numFmtId="178" fontId="0" fillId="4" borderId="0" xfId="0" applyNumberFormat="1" applyFill="1"/>
    <xf numFmtId="0" fontId="16" fillId="0" borderId="0" xfId="0" applyFont="1"/>
    <xf numFmtId="9" fontId="0" fillId="0" borderId="0" xfId="1" applyFont="1"/>
    <xf numFmtId="1" fontId="0" fillId="0" borderId="0" xfId="0" applyNumberFormat="1"/>
    <xf numFmtId="178" fontId="0" fillId="0" borderId="0" xfId="0" applyNumberFormat="1"/>
    <xf numFmtId="9" fontId="18" fillId="0" borderId="0" xfId="0" applyNumberFormat="1" applyFont="1"/>
    <xf numFmtId="173" fontId="0" fillId="3" borderId="2" xfId="0" applyNumberFormat="1" applyFill="1" applyBorder="1"/>
    <xf numFmtId="0" fontId="4" fillId="0" borderId="0" xfId="2" quotePrefix="1" applyFont="1" applyAlignment="1">
      <alignment horizontal="left" wrapText="1"/>
    </xf>
    <xf numFmtId="0" fontId="0" fillId="0" borderId="0" xfId="0" applyBorder="1"/>
    <xf numFmtId="166" fontId="2" fillId="0" borderId="2" xfId="0" applyNumberFormat="1" applyFont="1" applyBorder="1"/>
    <xf numFmtId="184" fontId="21" fillId="5" borderId="0" xfId="5" applyNumberFormat="1" applyFont="1" applyFill="1" applyAlignment="1"/>
    <xf numFmtId="0" fontId="21" fillId="5" borderId="0" xfId="0" applyFont="1" applyFill="1"/>
    <xf numFmtId="0" fontId="22" fillId="5" borderId="0" xfId="0" applyFont="1" applyFill="1"/>
    <xf numFmtId="0" fontId="23" fillId="0" borderId="0" xfId="0" applyFont="1"/>
    <xf numFmtId="0" fontId="22" fillId="6" borderId="0" xfId="0" applyFont="1" applyFill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21" fillId="6" borderId="0" xfId="0" applyFont="1" applyFill="1"/>
    <xf numFmtId="0" fontId="24" fillId="3" borderId="7" xfId="0" applyFont="1" applyFill="1" applyBorder="1" applyAlignment="1">
      <alignment horizontal="center"/>
    </xf>
    <xf numFmtId="0" fontId="21" fillId="7" borderId="0" xfId="0" applyFont="1" applyFill="1"/>
    <xf numFmtId="0" fontId="21" fillId="8" borderId="0" xfId="0" applyFont="1" applyFill="1"/>
    <xf numFmtId="0" fontId="25" fillId="0" borderId="0" xfId="0" applyFont="1"/>
    <xf numFmtId="186" fontId="24" fillId="3" borderId="7" xfId="3" applyNumberFormat="1" applyFont="1" applyFill="1" applyBorder="1" applyAlignment="1">
      <alignment horizontal="center"/>
    </xf>
    <xf numFmtId="175" fontId="21" fillId="0" borderId="0" xfId="0" applyNumberFormat="1" applyFont="1"/>
    <xf numFmtId="186" fontId="21" fillId="8" borderId="0" xfId="3" applyNumberFormat="1" applyFont="1" applyFill="1" applyAlignment="1"/>
    <xf numFmtId="186" fontId="0" fillId="6" borderId="0" xfId="0" applyNumberFormat="1" applyFill="1"/>
    <xf numFmtId="10" fontId="26" fillId="0" borderId="0" xfId="0" applyNumberFormat="1" applyFont="1"/>
    <xf numFmtId="0" fontId="19" fillId="0" borderId="0" xfId="0" applyFont="1"/>
    <xf numFmtId="0" fontId="0" fillId="0" borderId="2" xfId="0" applyFont="1" applyBorder="1"/>
    <xf numFmtId="0" fontId="10" fillId="0" borderId="2" xfId="0" applyFont="1" applyBorder="1"/>
    <xf numFmtId="167" fontId="11" fillId="0" borderId="2" xfId="0" applyNumberFormat="1" applyFont="1" applyBorder="1"/>
    <xf numFmtId="0" fontId="27" fillId="0" borderId="0" xfId="0" applyFont="1"/>
    <xf numFmtId="0" fontId="0" fillId="0" borderId="0" xfId="0" applyFont="1" applyBorder="1"/>
    <xf numFmtId="0" fontId="28" fillId="0" borderId="0" xfId="0" applyFont="1" applyAlignment="1">
      <alignment horizontal="center"/>
    </xf>
    <xf numFmtId="0" fontId="0" fillId="0" borderId="0" xfId="0"/>
    <xf numFmtId="0" fontId="29" fillId="0" borderId="0" xfId="0" applyFont="1" applyAlignment="1">
      <alignment horizontal="center"/>
    </xf>
    <xf numFmtId="0" fontId="0" fillId="0" borderId="0" xfId="0" applyAlignment="1">
      <alignment wrapText="1"/>
    </xf>
    <xf numFmtId="0" fontId="30" fillId="0" borderId="1" xfId="0" applyFont="1" applyBorder="1" applyAlignment="1">
      <alignment horizontal="center" wrapText="1"/>
    </xf>
    <xf numFmtId="0" fontId="4" fillId="0" borderId="0" xfId="0" applyFont="1" applyAlignment="1">
      <alignment horizontal="left" wrapText="1"/>
    </xf>
    <xf numFmtId="187" fontId="31" fillId="0" borderId="0" xfId="0" applyNumberFormat="1" applyFont="1" applyAlignment="1">
      <alignment wrapText="1"/>
    </xf>
    <xf numFmtId="187" fontId="31" fillId="0" borderId="0" xfId="0" applyNumberFormat="1" applyFont="1" applyAlignment="1">
      <alignment horizontal="right" wrapText="1"/>
    </xf>
    <xf numFmtId="188" fontId="4" fillId="0" borderId="2" xfId="0" applyNumberFormat="1" applyFont="1" applyBorder="1" applyAlignment="1">
      <alignment horizontal="right" wrapText="1"/>
    </xf>
    <xf numFmtId="0" fontId="31" fillId="0" borderId="0" xfId="0" applyFont="1" applyAlignment="1">
      <alignment horizontal="center"/>
    </xf>
    <xf numFmtId="0" fontId="27" fillId="0" borderId="1" xfId="0" applyFont="1" applyBorder="1"/>
    <xf numFmtId="167" fontId="11" fillId="0" borderId="1" xfId="0" applyNumberFormat="1" applyFont="1" applyBorder="1"/>
    <xf numFmtId="10" fontId="0" fillId="0" borderId="0" xfId="0" applyNumberFormat="1" applyFill="1"/>
    <xf numFmtId="0" fontId="0" fillId="3" borderId="0" xfId="0" applyFill="1" applyAlignment="1">
      <alignment horizontal="centerContinuous"/>
    </xf>
    <xf numFmtId="0" fontId="0" fillId="9" borderId="0" xfId="0" applyFont="1" applyFill="1"/>
    <xf numFmtId="0" fontId="2" fillId="3" borderId="0" xfId="0" applyFont="1" applyFill="1" applyAlignment="1">
      <alignment horizontal="centerContinuous"/>
    </xf>
    <xf numFmtId="176" fontId="0" fillId="0" borderId="0" xfId="0" applyNumberFormat="1"/>
    <xf numFmtId="191" fontId="0" fillId="9" borderId="0" xfId="0" applyNumberFormat="1" applyFont="1" applyFill="1"/>
    <xf numFmtId="192" fontId="0" fillId="0" borderId="0" xfId="0" applyNumberFormat="1"/>
    <xf numFmtId="191" fontId="0" fillId="0" borderId="0" xfId="0" applyNumberFormat="1"/>
  </cellXfs>
  <cellStyles count="6">
    <cellStyle name="Comma 2" xfId="5" xr:uid="{A2902805-70CC-4710-B6E0-1B5CEF999729}"/>
    <cellStyle name="Currency" xfId="3" builtinId="4"/>
    <cellStyle name="Normal" xfId="0" builtinId="0"/>
    <cellStyle name="Normal 2" xfId="2" xr:uid="{431D231B-1A0B-4EF8-B5B3-214D4278AF15}"/>
    <cellStyle name="Normal 3" xfId="4" xr:uid="{C77AA9E8-7552-4281-9328-9F7202875D2A}"/>
    <cellStyle name="Percent" xfId="1" builtinId="5"/>
  </cellStyles>
  <dxfs count="2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</dxfs>
  <tableStyles count="1" defaultTableStyle="TableStyleMedium2" defaultPivotStyle="PivotStyleLight16">
    <tableStyle name="Invisible" pivot="0" table="0" count="0" xr9:uid="{B88C899B-24CF-44C6-98EE-510E9593895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ChurnMatrix!$C$100</c:f>
              <c:strCache>
                <c:ptCount val="1"/>
                <c:pt idx="0">
                  <c:v>Attrition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ChurnMatrix!$D$9:$M$9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ChurnMatrix!$D$100:$M$100</c:f>
              <c:numCache>
                <c:formatCode>0%</c:formatCode>
                <c:ptCount val="10"/>
                <c:pt idx="0">
                  <c:v>0</c:v>
                </c:pt>
                <c:pt idx="1">
                  <c:v>-0.13910942354159481</c:v>
                </c:pt>
                <c:pt idx="2">
                  <c:v>-0.11117088040164966</c:v>
                </c:pt>
                <c:pt idx="3">
                  <c:v>-0.10695350734094621</c:v>
                </c:pt>
                <c:pt idx="4">
                  <c:v>-0.11159822689853381</c:v>
                </c:pt>
                <c:pt idx="5">
                  <c:v>-0.10826825866403705</c:v>
                </c:pt>
                <c:pt idx="6">
                  <c:v>-0.10675284421965668</c:v>
                </c:pt>
                <c:pt idx="7">
                  <c:v>-0.10566197028182768</c:v>
                </c:pt>
                <c:pt idx="8">
                  <c:v>-0.10499142369916875</c:v>
                </c:pt>
                <c:pt idx="9">
                  <c:v>-0.10457663688948939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E2-4211-9681-1C1382306E1A}"/>
            </c:ext>
          </c:extLst>
        </c:ser>
        <c:ser>
          <c:idx val="1"/>
          <c:order val="1"/>
          <c:tx>
            <c:strRef>
              <c:f>ChurnMatrix!$C$101</c:f>
              <c:strCache>
                <c:ptCount val="1"/>
                <c:pt idx="0">
                  <c:v>Adoption Rate 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ChurnMatrix!$D$9:$M$9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ChurnMatrix!$D$101:$M$101</c:f>
              <c:numCache>
                <c:formatCode>0%</c:formatCode>
                <c:ptCount val="10"/>
                <c:pt idx="1">
                  <c:v>0.69036934760096658</c:v>
                </c:pt>
                <c:pt idx="2">
                  <c:v>0.59171597633136108</c:v>
                </c:pt>
                <c:pt idx="3">
                  <c:v>0.53833605220228387</c:v>
                </c:pt>
                <c:pt idx="4">
                  <c:v>0.51439427151833994</c:v>
                </c:pt>
                <c:pt idx="5">
                  <c:v>0.50034203068503857</c:v>
                </c:pt>
                <c:pt idx="6">
                  <c:v>0.49207703119931762</c:v>
                </c:pt>
                <c:pt idx="7">
                  <c:v>0.48704864986986962</c:v>
                </c:pt>
                <c:pt idx="8">
                  <c:v>0.4839577666799405</c:v>
                </c:pt>
                <c:pt idx="9">
                  <c:v>0.48204580767426131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E2-4211-9681-1C1382306E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968584592"/>
        <c:axId val="1968585552"/>
      </c:barChart>
      <c:catAx>
        <c:axId val="196858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585552"/>
        <c:crosses val="autoZero"/>
        <c:auto val="1"/>
        <c:lblAlgn val="ctr"/>
        <c:lblOffset val="100"/>
        <c:noMultiLvlLbl val="0"/>
      </c:catAx>
      <c:valAx>
        <c:axId val="196858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858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665237</xdr:colOff>
      <xdr:row>104</xdr:row>
      <xdr:rowOff>42030</xdr:rowOff>
    </xdr:from>
    <xdr:to>
      <xdr:col>11</xdr:col>
      <xdr:colOff>483808</xdr:colOff>
      <xdr:row>134</xdr:row>
      <xdr:rowOff>45356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107475-A817-1214-98FF-90E47FE906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640862</xdr:colOff>
      <xdr:row>4</xdr:row>
      <xdr:rowOff>58616</xdr:rowOff>
    </xdr:from>
    <xdr:to>
      <xdr:col>15</xdr:col>
      <xdr:colOff>1175635</xdr:colOff>
      <xdr:row>18</xdr:row>
      <xdr:rowOff>22509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156E69-3ADA-2C63-09E6-6DECACE54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5170" y="801078"/>
          <a:ext cx="5575696" cy="257227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folabiIsiaka\Downloads\Headcount-and-Labor-Example+v1.3.xlsx" TargetMode="External"/><Relationship Id="rId1" Type="http://schemas.openxmlformats.org/officeDocument/2006/relationships/externalLinkPath" Target="file:///C:\Users\AfolabiIsiaka\Downloads\Headcount-and-Labor-Example+v1.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ad Count"/>
      <sheetName val="Salary"/>
      <sheetName val="Example"/>
      <sheetName val="Pricing"/>
      <sheetName val="Projections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8">
          <cell r="D18">
            <v>6.9999999999999999E-4</v>
          </cell>
        </row>
        <row r="19">
          <cell r="D19">
            <v>6.9999999999999999E-4</v>
          </cell>
        </row>
        <row r="20">
          <cell r="D20">
            <v>6.9999999999999999E-4</v>
          </cell>
        </row>
        <row r="25">
          <cell r="D25">
            <v>7</v>
          </cell>
        </row>
        <row r="26">
          <cell r="D26">
            <v>12</v>
          </cell>
        </row>
        <row r="27">
          <cell r="D27">
            <v>25</v>
          </cell>
        </row>
        <row r="53">
          <cell r="D53">
            <v>120</v>
          </cell>
        </row>
        <row r="54">
          <cell r="D54">
            <v>50</v>
          </cell>
        </row>
        <row r="55">
          <cell r="D55">
            <v>0.1</v>
          </cell>
        </row>
        <row r="63">
          <cell r="E63">
            <v>1316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9CC4-3EE0-47DB-92F9-A0BA4988597C}">
  <dimension ref="A1:H104"/>
  <sheetViews>
    <sheetView topLeftCell="A6" workbookViewId="0">
      <selection activeCell="B14" sqref="B14"/>
    </sheetView>
  </sheetViews>
  <sheetFormatPr defaultRowHeight="14.5" x14ac:dyDescent="0.35"/>
  <cols>
    <col min="1" max="1" width="47.26953125" customWidth="1"/>
    <col min="2" max="7" width="12" customWidth="1"/>
    <col min="8" max="8" width="13.7265625" customWidth="1"/>
  </cols>
  <sheetData>
    <row r="1" spans="1:8" ht="18" x14ac:dyDescent="0.4">
      <c r="A1" s="92" t="s">
        <v>110</v>
      </c>
      <c r="B1" s="93"/>
      <c r="C1" s="93"/>
      <c r="D1" s="93"/>
      <c r="E1" s="93"/>
      <c r="F1" s="93"/>
      <c r="G1" s="93"/>
      <c r="H1" s="93"/>
    </row>
    <row r="2" spans="1:8" ht="18" x14ac:dyDescent="0.4">
      <c r="A2" s="92" t="s">
        <v>111</v>
      </c>
      <c r="B2" s="93"/>
      <c r="C2" s="93"/>
      <c r="D2" s="93"/>
      <c r="E2" s="93"/>
      <c r="F2" s="93"/>
      <c r="G2" s="93"/>
      <c r="H2" s="93"/>
    </row>
    <row r="3" spans="1:8" x14ac:dyDescent="0.35">
      <c r="A3" s="94" t="s">
        <v>112</v>
      </c>
      <c r="B3" s="93"/>
      <c r="C3" s="93"/>
      <c r="D3" s="93"/>
      <c r="E3" s="93"/>
      <c r="F3" s="93"/>
      <c r="G3" s="93"/>
      <c r="H3" s="93"/>
    </row>
    <row r="5" spans="1:8" x14ac:dyDescent="0.35">
      <c r="A5" s="95"/>
      <c r="B5" s="96" t="s">
        <v>113</v>
      </c>
      <c r="C5" s="96" t="s">
        <v>114</v>
      </c>
      <c r="D5" s="96" t="s">
        <v>115</v>
      </c>
      <c r="E5" s="96" t="s">
        <v>116</v>
      </c>
      <c r="F5" s="96" t="s">
        <v>117</v>
      </c>
      <c r="G5" s="96" t="s">
        <v>118</v>
      </c>
      <c r="H5" s="96" t="s">
        <v>0</v>
      </c>
    </row>
    <row r="6" spans="1:8" x14ac:dyDescent="0.35">
      <c r="A6" s="97" t="s">
        <v>119</v>
      </c>
      <c r="B6" s="98"/>
      <c r="C6" s="98"/>
      <c r="D6" s="98"/>
      <c r="E6" s="98"/>
      <c r="F6" s="98"/>
      <c r="G6" s="98"/>
      <c r="H6" s="98"/>
    </row>
    <row r="7" spans="1:8" x14ac:dyDescent="0.35">
      <c r="A7" s="97" t="s">
        <v>120</v>
      </c>
      <c r="B7" s="99">
        <f>54256.58</f>
        <v>54256.58</v>
      </c>
      <c r="C7" s="99">
        <f>31504.6</f>
        <v>31504.6</v>
      </c>
      <c r="D7" s="99">
        <f>29168.4</f>
        <v>29168.400000000001</v>
      </c>
      <c r="E7" s="99">
        <f>85981.73</f>
        <v>85981.73</v>
      </c>
      <c r="F7" s="99">
        <f>79117.05</f>
        <v>79117.05</v>
      </c>
      <c r="G7" s="99">
        <f>107813.22</f>
        <v>107813.22</v>
      </c>
      <c r="H7" s="99">
        <f t="shared" ref="H7:H13" si="0">(((((B7)+(C7))+(D7))+(E7))+(F7))+(G7)</f>
        <v>387841.57999999996</v>
      </c>
    </row>
    <row r="8" spans="1:8" x14ac:dyDescent="0.35">
      <c r="A8" s="97" t="s">
        <v>121</v>
      </c>
      <c r="B8" s="99">
        <f>37145</f>
        <v>37145</v>
      </c>
      <c r="C8" s="99">
        <f>16910</f>
        <v>16910</v>
      </c>
      <c r="D8" s="99">
        <f>18905</f>
        <v>18905</v>
      </c>
      <c r="E8" s="99">
        <f>10355</f>
        <v>10355</v>
      </c>
      <c r="F8" s="98"/>
      <c r="G8" s="98"/>
      <c r="H8" s="99">
        <f t="shared" si="0"/>
        <v>83315</v>
      </c>
    </row>
    <row r="9" spans="1:8" x14ac:dyDescent="0.35">
      <c r="A9" s="97" t="s">
        <v>122</v>
      </c>
      <c r="B9" s="100">
        <f t="shared" ref="B9:G9" si="1">(B7)+(B8)</f>
        <v>91401.58</v>
      </c>
      <c r="C9" s="100">
        <f t="shared" si="1"/>
        <v>48414.6</v>
      </c>
      <c r="D9" s="100">
        <f t="shared" si="1"/>
        <v>48073.4</v>
      </c>
      <c r="E9" s="100">
        <f t="shared" si="1"/>
        <v>96336.73</v>
      </c>
      <c r="F9" s="100">
        <f t="shared" si="1"/>
        <v>79117.05</v>
      </c>
      <c r="G9" s="100">
        <f t="shared" si="1"/>
        <v>107813.22</v>
      </c>
      <c r="H9" s="100">
        <f t="shared" si="0"/>
        <v>471156.57999999996</v>
      </c>
    </row>
    <row r="10" spans="1:8" x14ac:dyDescent="0.35">
      <c r="A10" s="97" t="s">
        <v>123</v>
      </c>
      <c r="B10" s="99">
        <f>25000</f>
        <v>25000</v>
      </c>
      <c r="C10" s="99">
        <f>50000</f>
        <v>50000</v>
      </c>
      <c r="D10" s="99">
        <f>75000</f>
        <v>75000</v>
      </c>
      <c r="E10" s="99">
        <f>74000</f>
        <v>74000</v>
      </c>
      <c r="F10" s="99">
        <f>25000</f>
        <v>25000</v>
      </c>
      <c r="G10" s="99">
        <f>100000</f>
        <v>100000</v>
      </c>
      <c r="H10" s="99">
        <f t="shared" si="0"/>
        <v>349000</v>
      </c>
    </row>
    <row r="11" spans="1:8" x14ac:dyDescent="0.35">
      <c r="A11" s="97" t="s">
        <v>124</v>
      </c>
      <c r="B11" s="99">
        <f>37990</f>
        <v>37990</v>
      </c>
      <c r="C11" s="99">
        <f>39830</f>
        <v>39830</v>
      </c>
      <c r="D11" s="99">
        <f>40430</f>
        <v>40430</v>
      </c>
      <c r="E11" s="99">
        <f>40430</f>
        <v>40430</v>
      </c>
      <c r="F11" s="99">
        <f>42870</f>
        <v>42870</v>
      </c>
      <c r="G11" s="99">
        <f>42870</f>
        <v>42870</v>
      </c>
      <c r="H11" s="99">
        <f t="shared" si="0"/>
        <v>244420</v>
      </c>
    </row>
    <row r="12" spans="1:8" x14ac:dyDescent="0.35">
      <c r="A12" s="97" t="s">
        <v>125</v>
      </c>
      <c r="B12" s="98"/>
      <c r="C12" s="98"/>
      <c r="D12" s="98"/>
      <c r="E12" s="98"/>
      <c r="F12" s="99">
        <f>0</f>
        <v>0</v>
      </c>
      <c r="G12" s="98"/>
      <c r="H12" s="99">
        <f t="shared" si="0"/>
        <v>0</v>
      </c>
    </row>
    <row r="13" spans="1:8" x14ac:dyDescent="0.35">
      <c r="A13" s="97" t="s">
        <v>126</v>
      </c>
      <c r="B13" s="100">
        <f t="shared" ref="B13:G13" si="2">(((B9)+(B10))+(B11))+(B12)</f>
        <v>154391.58000000002</v>
      </c>
      <c r="C13" s="100">
        <f t="shared" si="2"/>
        <v>138244.6</v>
      </c>
      <c r="D13" s="100">
        <f t="shared" si="2"/>
        <v>163503.4</v>
      </c>
      <c r="E13" s="100">
        <f t="shared" si="2"/>
        <v>210766.72999999998</v>
      </c>
      <c r="F13" s="100">
        <f t="shared" si="2"/>
        <v>146987.04999999999</v>
      </c>
      <c r="G13" s="100">
        <f t="shared" si="2"/>
        <v>250683.22</v>
      </c>
      <c r="H13" s="100">
        <f t="shared" si="0"/>
        <v>1064576.58</v>
      </c>
    </row>
    <row r="14" spans="1:8" x14ac:dyDescent="0.35">
      <c r="A14" s="97" t="s">
        <v>127</v>
      </c>
      <c r="B14" s="98"/>
      <c r="C14" s="98"/>
      <c r="D14" s="98"/>
      <c r="E14" s="98"/>
      <c r="F14" s="98"/>
      <c r="G14" s="98"/>
      <c r="H14" s="98"/>
    </row>
    <row r="15" spans="1:8" x14ac:dyDescent="0.35">
      <c r="A15" s="97" t="s">
        <v>128</v>
      </c>
      <c r="B15" s="98">
        <f t="shared" ref="B15:H15" ca="1" si="3">B16/B25</f>
        <v>0.66346111180464917</v>
      </c>
      <c r="C15" s="98">
        <f t="shared" ca="1" si="3"/>
        <v>0.67351762999674036</v>
      </c>
      <c r="D15" s="98">
        <f t="shared" ca="1" si="3"/>
        <v>0.67354879363585152</v>
      </c>
      <c r="E15" s="98">
        <f t="shared" ca="1" si="3"/>
        <v>0.59599530814731794</v>
      </c>
      <c r="F15" s="98">
        <f t="shared" ca="1" si="3"/>
        <v>0.61282405462082834</v>
      </c>
      <c r="G15" s="98">
        <f t="shared" ca="1" si="3"/>
        <v>0.68726570213310179</v>
      </c>
      <c r="H15" s="98">
        <f t="shared" ca="1" si="3"/>
        <v>0.65265664575709381</v>
      </c>
    </row>
    <row r="16" spans="1:8" x14ac:dyDescent="0.35">
      <c r="A16" s="97" t="s">
        <v>129</v>
      </c>
      <c r="B16" s="99">
        <f>74743.01</f>
        <v>74743.009999999995</v>
      </c>
      <c r="C16" s="99">
        <f>69057.57</f>
        <v>69057.570000000007</v>
      </c>
      <c r="D16" s="99">
        <f>86660.73</f>
        <v>86660.73</v>
      </c>
      <c r="E16" s="99">
        <f>66940.2</f>
        <v>66940.2</v>
      </c>
      <c r="F16" s="99">
        <f>70956.27</f>
        <v>70956.27</v>
      </c>
      <c r="G16" s="99">
        <f>97937.34</f>
        <v>97937.34</v>
      </c>
      <c r="H16" s="99">
        <f t="shared" ref="H16:H38" si="4">(((((B16)+(C16))+(D16))+(E16))+(F16))+(G16)</f>
        <v>466295.12</v>
      </c>
    </row>
    <row r="17" spans="1:8" x14ac:dyDescent="0.35">
      <c r="A17" s="97" t="s">
        <v>130</v>
      </c>
      <c r="B17" s="99">
        <f>8584.26</f>
        <v>8584.26</v>
      </c>
      <c r="C17" s="99">
        <f>5466.83</f>
        <v>5466.83</v>
      </c>
      <c r="D17" s="99">
        <f>6757.23</f>
        <v>6757.23</v>
      </c>
      <c r="E17" s="99">
        <f>5796.89</f>
        <v>5796.89</v>
      </c>
      <c r="F17" s="99">
        <f>6167.03</f>
        <v>6167.03</v>
      </c>
      <c r="G17" s="99">
        <f>8370.66</f>
        <v>8370.66</v>
      </c>
      <c r="H17" s="99">
        <f t="shared" si="4"/>
        <v>41142.899999999994</v>
      </c>
    </row>
    <row r="18" spans="1:8" x14ac:dyDescent="0.35">
      <c r="A18" s="97" t="s">
        <v>131</v>
      </c>
      <c r="B18" s="99">
        <f>9749.53</f>
        <v>9749.5300000000007</v>
      </c>
      <c r="C18" s="99">
        <f>8550</f>
        <v>8550</v>
      </c>
      <c r="D18" s="99">
        <f>10607.64</f>
        <v>10607.64</v>
      </c>
      <c r="E18" s="99">
        <f>11505.71</f>
        <v>11505.71</v>
      </c>
      <c r="F18" s="99">
        <f>14358.17</f>
        <v>14358.17</v>
      </c>
      <c r="G18" s="99">
        <f>14811.2</f>
        <v>14811.2</v>
      </c>
      <c r="H18" s="99">
        <f t="shared" si="4"/>
        <v>69582.25</v>
      </c>
    </row>
    <row r="19" spans="1:8" x14ac:dyDescent="0.35">
      <c r="A19" s="97" t="s">
        <v>132</v>
      </c>
      <c r="B19" s="99">
        <f>7189.3</f>
        <v>7189.3</v>
      </c>
      <c r="C19" s="99">
        <f>12614.87</f>
        <v>12614.87</v>
      </c>
      <c r="D19" s="99">
        <f>6631.86</f>
        <v>6631.86</v>
      </c>
      <c r="E19" s="99">
        <f>16116.88</f>
        <v>16116.88</v>
      </c>
      <c r="F19" s="99">
        <f>10941.52</f>
        <v>10941.52</v>
      </c>
      <c r="G19" s="99">
        <f>8303.1</f>
        <v>8303.1</v>
      </c>
      <c r="H19" s="99">
        <f t="shared" si="4"/>
        <v>61797.530000000006</v>
      </c>
    </row>
    <row r="20" spans="1:8" x14ac:dyDescent="0.35">
      <c r="A20" s="97" t="s">
        <v>133</v>
      </c>
      <c r="B20" s="99">
        <f>10</f>
        <v>10</v>
      </c>
      <c r="C20" s="99">
        <f>40.86</f>
        <v>40.86</v>
      </c>
      <c r="D20" s="98"/>
      <c r="E20" s="98"/>
      <c r="F20" s="98"/>
      <c r="G20" s="98"/>
      <c r="H20" s="99">
        <f t="shared" si="4"/>
        <v>50.86</v>
      </c>
    </row>
    <row r="21" spans="1:8" x14ac:dyDescent="0.35">
      <c r="A21" s="97" t="s">
        <v>134</v>
      </c>
      <c r="B21" s="99">
        <f>425</f>
        <v>425</v>
      </c>
      <c r="C21" s="99">
        <f>291.57</f>
        <v>291.57</v>
      </c>
      <c r="D21" s="99">
        <f>830.15</f>
        <v>830.15</v>
      </c>
      <c r="E21" s="99">
        <f>435</f>
        <v>435</v>
      </c>
      <c r="F21" s="99">
        <f>345.53</f>
        <v>345.53</v>
      </c>
      <c r="G21" s="99">
        <f>481.2</f>
        <v>481.2</v>
      </c>
      <c r="H21" s="99">
        <f t="shared" si="4"/>
        <v>2808.45</v>
      </c>
    </row>
    <row r="22" spans="1:8" x14ac:dyDescent="0.35">
      <c r="A22" s="97" t="s">
        <v>135</v>
      </c>
      <c r="B22" s="99">
        <f>11754.44</f>
        <v>11754.44</v>
      </c>
      <c r="C22" s="99">
        <f>6510.31</f>
        <v>6510.31</v>
      </c>
      <c r="D22" s="99">
        <f>10156.21</f>
        <v>10156.209999999999</v>
      </c>
      <c r="E22" s="99">
        <f>9853.05</f>
        <v>9853.0499999999993</v>
      </c>
      <c r="F22" s="99">
        <f>8831.58</f>
        <v>8831.58</v>
      </c>
      <c r="G22" s="99">
        <f>9507.07</f>
        <v>9507.07</v>
      </c>
      <c r="H22" s="99">
        <f t="shared" si="4"/>
        <v>56612.659999999996</v>
      </c>
    </row>
    <row r="23" spans="1:8" x14ac:dyDescent="0.35">
      <c r="A23" s="97" t="s">
        <v>136</v>
      </c>
      <c r="B23" s="98"/>
      <c r="C23" s="98"/>
      <c r="D23" s="99">
        <f>7018.39</f>
        <v>7018.39</v>
      </c>
      <c r="E23" s="99">
        <f>1668.33</f>
        <v>1668.33</v>
      </c>
      <c r="F23" s="99">
        <f>4185</f>
        <v>4185</v>
      </c>
      <c r="G23" s="99">
        <f>3091.62</f>
        <v>3091.62</v>
      </c>
      <c r="H23" s="99">
        <f t="shared" si="4"/>
        <v>15963.34</v>
      </c>
    </row>
    <row r="24" spans="1:8" x14ac:dyDescent="0.35">
      <c r="A24" s="97" t="s">
        <v>137</v>
      </c>
      <c r="B24" s="99">
        <f>200</f>
        <v>200</v>
      </c>
      <c r="C24" s="98"/>
      <c r="D24" s="98"/>
      <c r="E24" s="98"/>
      <c r="F24" s="98"/>
      <c r="G24" s="98"/>
      <c r="H24" s="99">
        <f t="shared" si="4"/>
        <v>200</v>
      </c>
    </row>
    <row r="25" spans="1:8" x14ac:dyDescent="0.35">
      <c r="A25" s="97" t="s">
        <v>138</v>
      </c>
      <c r="B25" s="100">
        <f t="shared" ref="B25:G25" ca="1" si="5">(((((((((B15)+(B16))+(B17))+(B18))+(B19))+(B20))+(B21))+(B22))+(B23))+(B24)</f>
        <v>112656.2034611118</v>
      </c>
      <c r="C25" s="100">
        <f t="shared" ca="1" si="5"/>
        <v>102532.68351763001</v>
      </c>
      <c r="D25" s="100">
        <f t="shared" ca="1" si="5"/>
        <v>128662.88354879363</v>
      </c>
      <c r="E25" s="100">
        <f t="shared" ca="1" si="5"/>
        <v>112316.65599530816</v>
      </c>
      <c r="F25" s="100">
        <f t="shared" ca="1" si="5"/>
        <v>115785.71282405463</v>
      </c>
      <c r="G25" s="100">
        <f t="shared" ca="1" si="5"/>
        <v>142502.87726570212</v>
      </c>
      <c r="H25" s="100">
        <f t="shared" ca="1" si="4"/>
        <v>714457.0166126003</v>
      </c>
    </row>
    <row r="26" spans="1:8" x14ac:dyDescent="0.35">
      <c r="A26" s="97" t="s">
        <v>139</v>
      </c>
      <c r="B26" s="98"/>
      <c r="C26" s="99">
        <f>2278.5</f>
        <v>2278.5</v>
      </c>
      <c r="D26" s="99">
        <f>5628.58</f>
        <v>5628.58</v>
      </c>
      <c r="E26" s="98"/>
      <c r="F26" s="98"/>
      <c r="G26" s="98"/>
      <c r="H26" s="99">
        <f t="shared" si="4"/>
        <v>7907.08</v>
      </c>
    </row>
    <row r="27" spans="1:8" x14ac:dyDescent="0.35">
      <c r="A27" s="97" t="s">
        <v>140</v>
      </c>
      <c r="B27" s="99">
        <f>43783.5</f>
        <v>43783.5</v>
      </c>
      <c r="C27" s="99">
        <f>39756.96</f>
        <v>39756.959999999999</v>
      </c>
      <c r="D27" s="99">
        <f>54377.18</f>
        <v>54377.18</v>
      </c>
      <c r="E27" s="99">
        <f>66233.27</f>
        <v>66233.27</v>
      </c>
      <c r="F27" s="99">
        <f>66098.32</f>
        <v>66098.320000000007</v>
      </c>
      <c r="G27" s="99">
        <f>60538.27</f>
        <v>60538.27</v>
      </c>
      <c r="H27" s="99">
        <f t="shared" si="4"/>
        <v>330787.5</v>
      </c>
    </row>
    <row r="28" spans="1:8" x14ac:dyDescent="0.35">
      <c r="A28" s="97" t="s">
        <v>141</v>
      </c>
      <c r="B28" s="100">
        <f t="shared" ref="B28:G28" si="6">(B26)+(B27)</f>
        <v>43783.5</v>
      </c>
      <c r="C28" s="100">
        <f t="shared" si="6"/>
        <v>42035.46</v>
      </c>
      <c r="D28" s="100">
        <f t="shared" si="6"/>
        <v>60005.760000000002</v>
      </c>
      <c r="E28" s="100">
        <f t="shared" si="6"/>
        <v>66233.27</v>
      </c>
      <c r="F28" s="100">
        <f t="shared" si="6"/>
        <v>66098.320000000007</v>
      </c>
      <c r="G28" s="100">
        <f t="shared" si="6"/>
        <v>60538.27</v>
      </c>
      <c r="H28" s="100">
        <f t="shared" si="4"/>
        <v>338694.58</v>
      </c>
    </row>
    <row r="29" spans="1:8" x14ac:dyDescent="0.35">
      <c r="A29" s="97" t="s">
        <v>142</v>
      </c>
      <c r="B29" s="98"/>
      <c r="C29" s="98"/>
      <c r="D29" s="98"/>
      <c r="E29" s="98"/>
      <c r="F29" s="98"/>
      <c r="G29" s="98"/>
      <c r="H29" s="99">
        <f t="shared" si="4"/>
        <v>0</v>
      </c>
    </row>
    <row r="30" spans="1:8" x14ac:dyDescent="0.35">
      <c r="A30" s="97" t="s">
        <v>143</v>
      </c>
      <c r="B30" s="99">
        <f>6000</f>
        <v>6000</v>
      </c>
      <c r="C30" s="99">
        <f>6000</f>
        <v>6000</v>
      </c>
      <c r="D30" s="99">
        <f>9000</f>
        <v>9000</v>
      </c>
      <c r="E30" s="99">
        <f>11100</f>
        <v>11100</v>
      </c>
      <c r="F30" s="99">
        <f>6000</f>
        <v>6000</v>
      </c>
      <c r="G30" s="99">
        <f>13724.51</f>
        <v>13724.51</v>
      </c>
      <c r="H30" s="99">
        <f t="shared" si="4"/>
        <v>51824.51</v>
      </c>
    </row>
    <row r="31" spans="1:8" x14ac:dyDescent="0.35">
      <c r="A31" s="97" t="s">
        <v>144</v>
      </c>
      <c r="B31" s="99">
        <f>831.31</f>
        <v>831.31</v>
      </c>
      <c r="C31" s="99">
        <f>512.99</f>
        <v>512.99</v>
      </c>
      <c r="D31" s="99">
        <f>659.8</f>
        <v>659.8</v>
      </c>
      <c r="E31" s="99">
        <f>616.01</f>
        <v>616.01</v>
      </c>
      <c r="F31" s="99">
        <f>616.03</f>
        <v>616.03</v>
      </c>
      <c r="G31" s="99">
        <f>484.04</f>
        <v>484.04</v>
      </c>
      <c r="H31" s="99">
        <f t="shared" si="4"/>
        <v>3720.1799999999994</v>
      </c>
    </row>
    <row r="32" spans="1:8" x14ac:dyDescent="0.35">
      <c r="A32" s="97" t="s">
        <v>145</v>
      </c>
      <c r="B32" s="99">
        <f>566.64</f>
        <v>566.64</v>
      </c>
      <c r="C32" s="99">
        <f>1067.8</f>
        <v>1067.8</v>
      </c>
      <c r="D32" s="99">
        <f>1601.7</f>
        <v>1601.7</v>
      </c>
      <c r="E32" s="99">
        <f>1536.33</f>
        <v>1536.33</v>
      </c>
      <c r="F32" s="99">
        <f>1547.67</f>
        <v>1547.67</v>
      </c>
      <c r="G32" s="99">
        <f>1216.03</f>
        <v>1216.03</v>
      </c>
      <c r="H32" s="99">
        <f t="shared" si="4"/>
        <v>7536.17</v>
      </c>
    </row>
    <row r="33" spans="1:8" x14ac:dyDescent="0.35">
      <c r="A33" s="97" t="s">
        <v>146</v>
      </c>
      <c r="B33" s="99">
        <f>1500</f>
        <v>1500</v>
      </c>
      <c r="C33" s="99">
        <f>3000</f>
        <v>3000</v>
      </c>
      <c r="D33" s="99">
        <f>3000</f>
        <v>3000</v>
      </c>
      <c r="E33" s="98"/>
      <c r="F33" s="98"/>
      <c r="G33" s="98"/>
      <c r="H33" s="99">
        <f t="shared" si="4"/>
        <v>7500</v>
      </c>
    </row>
    <row r="34" spans="1:8" x14ac:dyDescent="0.35">
      <c r="A34" s="97" t="s">
        <v>147</v>
      </c>
      <c r="B34" s="100">
        <f t="shared" ref="B34:G34" si="7">((((B29)+(B30))+(B31))+(B32))+(B33)</f>
        <v>8897.9500000000007</v>
      </c>
      <c r="C34" s="100">
        <f t="shared" si="7"/>
        <v>10580.79</v>
      </c>
      <c r="D34" s="100">
        <f t="shared" si="7"/>
        <v>14261.5</v>
      </c>
      <c r="E34" s="100">
        <f t="shared" si="7"/>
        <v>13252.34</v>
      </c>
      <c r="F34" s="100">
        <f t="shared" si="7"/>
        <v>8163.7</v>
      </c>
      <c r="G34" s="100">
        <f t="shared" si="7"/>
        <v>15424.580000000002</v>
      </c>
      <c r="H34" s="100">
        <f t="shared" si="4"/>
        <v>70580.86</v>
      </c>
    </row>
    <row r="35" spans="1:8" x14ac:dyDescent="0.35">
      <c r="A35" s="97" t="s">
        <v>148</v>
      </c>
      <c r="B35" s="98"/>
      <c r="C35" s="98"/>
      <c r="D35" s="98"/>
      <c r="E35" s="98"/>
      <c r="F35" s="98"/>
      <c r="G35" s="99">
        <f>0</f>
        <v>0</v>
      </c>
      <c r="H35" s="99">
        <f t="shared" si="4"/>
        <v>0</v>
      </c>
    </row>
    <row r="36" spans="1:8" x14ac:dyDescent="0.35">
      <c r="A36" s="97" t="s">
        <v>149</v>
      </c>
      <c r="B36" s="100">
        <f ca="1">(((B25)+(B28))+(B34))+(B35)</f>
        <v>165337.65346111183</v>
      </c>
      <c r="C36" s="100">
        <f ca="1">(((C25)+(C28))+(C34))+(C35)</f>
        <v>155148.93351763001</v>
      </c>
      <c r="D36" s="100">
        <f t="shared" ref="B36:G36" ca="1" si="8">(((D25)+(D28))+(D34))+(D35)</f>
        <v>202930.14354879363</v>
      </c>
      <c r="E36" s="100">
        <f t="shared" ca="1" si="8"/>
        <v>191802.26599530815</v>
      </c>
      <c r="F36" s="100">
        <f t="shared" ca="1" si="8"/>
        <v>190047.73282405466</v>
      </c>
      <c r="G36" s="100">
        <f t="shared" ca="1" si="8"/>
        <v>218465.72726570209</v>
      </c>
      <c r="H36" s="100">
        <f t="shared" ca="1" si="4"/>
        <v>1123732.4566126005</v>
      </c>
    </row>
    <row r="37" spans="1:8" x14ac:dyDescent="0.35">
      <c r="A37" s="97" t="s">
        <v>1</v>
      </c>
      <c r="B37" s="100">
        <f ca="1">(B13)-(B36)</f>
        <v>-10946.07346111181</v>
      </c>
      <c r="C37" s="100">
        <f t="shared" ref="B37:G37" ca="1" si="9">(C13)-(C36)</f>
        <v>-16904.333517630002</v>
      </c>
      <c r="D37" s="100">
        <f t="shared" ca="1" si="9"/>
        <v>-39426.743548793631</v>
      </c>
      <c r="E37" s="100">
        <f t="shared" ca="1" si="9"/>
        <v>18964.464004691836</v>
      </c>
      <c r="F37" s="100">
        <f t="shared" ca="1" si="9"/>
        <v>-43060.682824054675</v>
      </c>
      <c r="G37" s="100">
        <f t="shared" ca="1" si="9"/>
        <v>32217.492734297906</v>
      </c>
      <c r="H37" s="100">
        <f t="shared" ca="1" si="4"/>
        <v>-59155.876612600376</v>
      </c>
    </row>
    <row r="38" spans="1:8" x14ac:dyDescent="0.35">
      <c r="A38" s="97" t="s">
        <v>150</v>
      </c>
      <c r="B38" s="98"/>
      <c r="C38" s="98"/>
      <c r="D38" s="98"/>
      <c r="E38" s="98"/>
      <c r="F38" s="98"/>
      <c r="G38" s="98"/>
      <c r="H38" s="98"/>
    </row>
    <row r="39" spans="1:8" x14ac:dyDescent="0.35">
      <c r="A39" s="97" t="s">
        <v>151</v>
      </c>
      <c r="B39" s="98"/>
      <c r="C39" s="98"/>
      <c r="D39" s="98"/>
      <c r="E39" s="98"/>
      <c r="F39" s="98"/>
      <c r="G39" s="98"/>
      <c r="H39" s="99">
        <f t="shared" ref="H39:H94" si="10">(((((B39)+(C39))+(D39))+(E39))+(F39))+(G39)</f>
        <v>0</v>
      </c>
    </row>
    <row r="40" spans="1:8" x14ac:dyDescent="0.35">
      <c r="A40" s="97" t="s">
        <v>152</v>
      </c>
      <c r="B40" s="99">
        <f>105551.35</f>
        <v>105551.35</v>
      </c>
      <c r="C40" s="99">
        <f>95144.78</f>
        <v>95144.78</v>
      </c>
      <c r="D40" s="99">
        <f>122680.5</f>
        <v>122680.5</v>
      </c>
      <c r="E40" s="99">
        <f>123679.89</f>
        <v>123679.89</v>
      </c>
      <c r="F40" s="99">
        <f>180764.76</f>
        <v>180764.76</v>
      </c>
      <c r="G40" s="99">
        <f>252938.89</f>
        <v>252938.89</v>
      </c>
      <c r="H40" s="99">
        <f t="shared" si="10"/>
        <v>880760.17</v>
      </c>
    </row>
    <row r="41" spans="1:8" x14ac:dyDescent="0.35">
      <c r="A41" s="97" t="s">
        <v>153</v>
      </c>
      <c r="B41" s="99">
        <f>10268.21</f>
        <v>10268.209999999999</v>
      </c>
      <c r="C41" s="99">
        <f>7172.29</f>
        <v>7172.29</v>
      </c>
      <c r="D41" s="99">
        <f>9854.82</f>
        <v>9854.82</v>
      </c>
      <c r="E41" s="99">
        <f>9706.51</f>
        <v>9706.51</v>
      </c>
      <c r="F41" s="99">
        <f>15858.82</f>
        <v>15858.82</v>
      </c>
      <c r="G41" s="99">
        <f>20704.99</f>
        <v>20704.990000000002</v>
      </c>
      <c r="H41" s="99">
        <f t="shared" si="10"/>
        <v>73565.64</v>
      </c>
    </row>
    <row r="42" spans="1:8" x14ac:dyDescent="0.35">
      <c r="A42" s="97" t="s">
        <v>154</v>
      </c>
      <c r="B42" s="99">
        <f>7833.85</f>
        <v>7833.85</v>
      </c>
      <c r="C42" s="99">
        <f>6263.99</f>
        <v>6263.99</v>
      </c>
      <c r="D42" s="99">
        <f>8189.87</f>
        <v>8189.87</v>
      </c>
      <c r="E42" s="99">
        <f>12580.9</f>
        <v>12580.9</v>
      </c>
      <c r="F42" s="99">
        <f>16005.96</f>
        <v>16005.96</v>
      </c>
      <c r="G42" s="99">
        <f>16885.21</f>
        <v>16885.21</v>
      </c>
      <c r="H42" s="99">
        <f t="shared" si="10"/>
        <v>67759.78</v>
      </c>
    </row>
    <row r="43" spans="1:8" x14ac:dyDescent="0.35">
      <c r="A43" s="97" t="s">
        <v>155</v>
      </c>
      <c r="B43" s="100">
        <f t="shared" ref="B43:G43" si="11">(((B39)+(B40))+(B41))+(B42)</f>
        <v>123653.41</v>
      </c>
      <c r="C43" s="100">
        <f t="shared" si="11"/>
        <v>108581.06</v>
      </c>
      <c r="D43" s="100">
        <f t="shared" si="11"/>
        <v>140725.19</v>
      </c>
      <c r="E43" s="100">
        <f t="shared" si="11"/>
        <v>145967.29999999999</v>
      </c>
      <c r="F43" s="100">
        <f t="shared" si="11"/>
        <v>212629.54</v>
      </c>
      <c r="G43" s="100">
        <f t="shared" si="11"/>
        <v>290529.09000000003</v>
      </c>
      <c r="H43" s="100">
        <f t="shared" si="10"/>
        <v>1022085.5900000001</v>
      </c>
    </row>
    <row r="44" spans="1:8" x14ac:dyDescent="0.35">
      <c r="A44" s="97" t="s">
        <v>156</v>
      </c>
      <c r="B44" s="98"/>
      <c r="C44" s="98"/>
      <c r="D44" s="98"/>
      <c r="E44" s="98"/>
      <c r="F44" s="98"/>
      <c r="G44" s="98"/>
      <c r="H44" s="99">
        <f t="shared" si="10"/>
        <v>0</v>
      </c>
    </row>
    <row r="45" spans="1:8" x14ac:dyDescent="0.35">
      <c r="A45" s="97" t="s">
        <v>157</v>
      </c>
      <c r="B45" s="99">
        <f>9084.45</f>
        <v>9084.4500000000007</v>
      </c>
      <c r="C45" s="99">
        <f>13593.55</f>
        <v>13593.55</v>
      </c>
      <c r="D45" s="99">
        <f>20406.2</f>
        <v>20406.2</v>
      </c>
      <c r="E45" s="99">
        <f>19448</f>
        <v>19448</v>
      </c>
      <c r="F45" s="99">
        <f>21861.35</f>
        <v>21861.35</v>
      </c>
      <c r="G45" s="99">
        <f>23312.1</f>
        <v>23312.1</v>
      </c>
      <c r="H45" s="99">
        <f t="shared" si="10"/>
        <v>107705.65</v>
      </c>
    </row>
    <row r="46" spans="1:8" x14ac:dyDescent="0.35">
      <c r="A46" s="97" t="s">
        <v>158</v>
      </c>
      <c r="B46" s="99">
        <f>13873</f>
        <v>13873</v>
      </c>
      <c r="C46" s="99">
        <f>8090</f>
        <v>8090</v>
      </c>
      <c r="D46" s="99">
        <f>8858.5</f>
        <v>8858.5</v>
      </c>
      <c r="E46" s="99">
        <f>9828.5</f>
        <v>9828.5</v>
      </c>
      <c r="F46" s="99">
        <f>31606.31</f>
        <v>31606.31</v>
      </c>
      <c r="G46" s="99">
        <f>10749</f>
        <v>10749</v>
      </c>
      <c r="H46" s="99">
        <f t="shared" si="10"/>
        <v>83005.31</v>
      </c>
    </row>
    <row r="47" spans="1:8" x14ac:dyDescent="0.35">
      <c r="A47" s="97" t="s">
        <v>159</v>
      </c>
      <c r="B47" s="99">
        <f>3800</f>
        <v>3800</v>
      </c>
      <c r="C47" s="99">
        <f>3800</f>
        <v>3800</v>
      </c>
      <c r="D47" s="99">
        <f>3800</f>
        <v>3800</v>
      </c>
      <c r="E47" s="99">
        <f>8000</f>
        <v>8000</v>
      </c>
      <c r="F47" s="99">
        <f>8000</f>
        <v>8000</v>
      </c>
      <c r="G47" s="98"/>
      <c r="H47" s="99">
        <f t="shared" si="10"/>
        <v>27400</v>
      </c>
    </row>
    <row r="48" spans="1:8" x14ac:dyDescent="0.35">
      <c r="A48" s="97" t="s">
        <v>160</v>
      </c>
      <c r="B48" s="99">
        <f>54500</f>
        <v>54500</v>
      </c>
      <c r="C48" s="99">
        <f>54100</f>
        <v>54100</v>
      </c>
      <c r="D48" s="99">
        <f>52620</f>
        <v>52620</v>
      </c>
      <c r="E48" s="99">
        <f>45398</f>
        <v>45398</v>
      </c>
      <c r="F48" s="99">
        <f>61139.7</f>
        <v>61139.7</v>
      </c>
      <c r="G48" s="99">
        <f>90105.2</f>
        <v>90105.2</v>
      </c>
      <c r="H48" s="99">
        <f t="shared" si="10"/>
        <v>357862.9</v>
      </c>
    </row>
    <row r="49" spans="1:8" x14ac:dyDescent="0.35">
      <c r="A49" s="97" t="s">
        <v>161</v>
      </c>
      <c r="B49" s="99">
        <f>9000</f>
        <v>9000</v>
      </c>
      <c r="C49" s="99">
        <f>9200</f>
        <v>9200</v>
      </c>
      <c r="D49" s="99">
        <f>9000</f>
        <v>9000</v>
      </c>
      <c r="E49" s="99">
        <f>26000</f>
        <v>26000</v>
      </c>
      <c r="F49" s="99">
        <f>23500</f>
        <v>23500</v>
      </c>
      <c r="G49" s="99">
        <f>26000</f>
        <v>26000</v>
      </c>
      <c r="H49" s="99">
        <f t="shared" si="10"/>
        <v>102700</v>
      </c>
    </row>
    <row r="50" spans="1:8" x14ac:dyDescent="0.35">
      <c r="A50" s="97" t="s">
        <v>162</v>
      </c>
      <c r="B50" s="98"/>
      <c r="C50" s="98"/>
      <c r="D50" s="99">
        <f>5760</f>
        <v>5760</v>
      </c>
      <c r="E50" s="99">
        <f>2288.4</f>
        <v>2288.4</v>
      </c>
      <c r="F50" s="99">
        <f>67260</f>
        <v>67260</v>
      </c>
      <c r="G50" s="99">
        <f>70500</f>
        <v>70500</v>
      </c>
      <c r="H50" s="99">
        <f t="shared" si="10"/>
        <v>145808.4</v>
      </c>
    </row>
    <row r="51" spans="1:8" x14ac:dyDescent="0.35">
      <c r="A51" s="97" t="s">
        <v>163</v>
      </c>
      <c r="B51" s="99">
        <f>31512.46</f>
        <v>31512.46</v>
      </c>
      <c r="C51" s="99">
        <f>4755.06</f>
        <v>4755.0600000000004</v>
      </c>
      <c r="D51" s="99">
        <f>19715.28</f>
        <v>19715.28</v>
      </c>
      <c r="E51" s="99">
        <f>10523.95</f>
        <v>10523.95</v>
      </c>
      <c r="F51" s="99">
        <f>15631.23</f>
        <v>15631.23</v>
      </c>
      <c r="G51" s="99">
        <f>16948.63</f>
        <v>16948.63</v>
      </c>
      <c r="H51" s="99">
        <f t="shared" si="10"/>
        <v>99086.61</v>
      </c>
    </row>
    <row r="52" spans="1:8" x14ac:dyDescent="0.35">
      <c r="A52" s="97" t="s">
        <v>164</v>
      </c>
      <c r="B52" s="100">
        <f t="shared" ref="B52:G52" si="12">(((((((B44)+(B45))+(B46))+(B47))+(B48))+(B49))+(B50))+(B51)</f>
        <v>121769.91</v>
      </c>
      <c r="C52" s="100">
        <f t="shared" si="12"/>
        <v>93538.61</v>
      </c>
      <c r="D52" s="100">
        <f t="shared" si="12"/>
        <v>120159.98</v>
      </c>
      <c r="E52" s="100">
        <f t="shared" si="12"/>
        <v>121486.84999999999</v>
      </c>
      <c r="F52" s="100">
        <f t="shared" si="12"/>
        <v>228998.59</v>
      </c>
      <c r="G52" s="100">
        <f t="shared" si="12"/>
        <v>237614.93</v>
      </c>
      <c r="H52" s="100">
        <f t="shared" si="10"/>
        <v>923568.86999999988</v>
      </c>
    </row>
    <row r="53" spans="1:8" x14ac:dyDescent="0.35">
      <c r="A53" s="97" t="s">
        <v>165</v>
      </c>
      <c r="B53" s="98"/>
      <c r="C53" s="98"/>
      <c r="D53" s="98"/>
      <c r="E53" s="98"/>
      <c r="F53" s="98"/>
      <c r="G53" s="98"/>
      <c r="H53" s="99">
        <f t="shared" si="10"/>
        <v>0</v>
      </c>
    </row>
    <row r="54" spans="1:8" x14ac:dyDescent="0.35">
      <c r="A54" s="97" t="s">
        <v>166</v>
      </c>
      <c r="B54" s="99">
        <f>3502</f>
        <v>3502</v>
      </c>
      <c r="C54" s="99">
        <f>2920</f>
        <v>2920</v>
      </c>
      <c r="D54" s="99">
        <f>22468.84</f>
        <v>22468.84</v>
      </c>
      <c r="E54" s="99">
        <f>22920</f>
        <v>22920</v>
      </c>
      <c r="F54" s="99">
        <f>12480.38</f>
        <v>12480.38</v>
      </c>
      <c r="G54" s="99">
        <f>139.4</f>
        <v>139.4</v>
      </c>
      <c r="H54" s="99">
        <f t="shared" si="10"/>
        <v>64430.619999999995</v>
      </c>
    </row>
    <row r="55" spans="1:8" x14ac:dyDescent="0.35">
      <c r="A55" s="97" t="s">
        <v>167</v>
      </c>
      <c r="B55" s="98"/>
      <c r="C55" s="99">
        <f>2873.9</f>
        <v>2873.9</v>
      </c>
      <c r="D55" s="99">
        <f>6871.09</f>
        <v>6871.09</v>
      </c>
      <c r="E55" s="99">
        <f>3420</f>
        <v>3420</v>
      </c>
      <c r="F55" s="99">
        <f>5834.85</f>
        <v>5834.85</v>
      </c>
      <c r="G55" s="98"/>
      <c r="H55" s="99">
        <f t="shared" si="10"/>
        <v>18999.84</v>
      </c>
    </row>
    <row r="56" spans="1:8" x14ac:dyDescent="0.35">
      <c r="A56" s="97" t="s">
        <v>168</v>
      </c>
      <c r="B56" s="100">
        <f t="shared" ref="B56:G56" si="13">((B53)+(B54))+(B55)</f>
        <v>3502</v>
      </c>
      <c r="C56" s="100">
        <f t="shared" si="13"/>
        <v>5793.9</v>
      </c>
      <c r="D56" s="100">
        <f t="shared" si="13"/>
        <v>29339.93</v>
      </c>
      <c r="E56" s="100">
        <f t="shared" si="13"/>
        <v>26340</v>
      </c>
      <c r="F56" s="100">
        <f t="shared" si="13"/>
        <v>18315.23</v>
      </c>
      <c r="G56" s="100">
        <f t="shared" si="13"/>
        <v>139.4</v>
      </c>
      <c r="H56" s="100">
        <f t="shared" si="10"/>
        <v>83430.459999999992</v>
      </c>
    </row>
    <row r="57" spans="1:8" x14ac:dyDescent="0.35">
      <c r="A57" s="97" t="s">
        <v>169</v>
      </c>
      <c r="B57" s="98"/>
      <c r="C57" s="98"/>
      <c r="D57" s="98"/>
      <c r="E57" s="98"/>
      <c r="F57" s="98"/>
      <c r="G57" s="98"/>
      <c r="H57" s="99">
        <f t="shared" si="10"/>
        <v>0</v>
      </c>
    </row>
    <row r="58" spans="1:8" x14ac:dyDescent="0.35">
      <c r="A58" s="97" t="s">
        <v>170</v>
      </c>
      <c r="B58" s="98"/>
      <c r="C58" s="99">
        <f>1412.5</f>
        <v>1412.5</v>
      </c>
      <c r="D58" s="99">
        <f>734.5</f>
        <v>734.5</v>
      </c>
      <c r="E58" s="99">
        <f>508.5</f>
        <v>508.5</v>
      </c>
      <c r="F58" s="99">
        <f>904</f>
        <v>904</v>
      </c>
      <c r="G58" s="99">
        <f>466.55</f>
        <v>466.55</v>
      </c>
      <c r="H58" s="99">
        <f t="shared" si="10"/>
        <v>4026.05</v>
      </c>
    </row>
    <row r="59" spans="1:8" x14ac:dyDescent="0.35">
      <c r="A59" s="97" t="s">
        <v>171</v>
      </c>
      <c r="B59" s="99">
        <f>21.35</f>
        <v>21.35</v>
      </c>
      <c r="C59" s="99">
        <f>352.39</f>
        <v>352.39</v>
      </c>
      <c r="D59" s="99">
        <f>6057.87</f>
        <v>6057.87</v>
      </c>
      <c r="E59" s="99">
        <f>476.34</f>
        <v>476.34</v>
      </c>
      <c r="F59" s="99">
        <f>1649.63</f>
        <v>1649.63</v>
      </c>
      <c r="G59" s="99">
        <f>1551.95</f>
        <v>1551.95</v>
      </c>
      <c r="H59" s="99">
        <f t="shared" si="10"/>
        <v>10109.530000000001</v>
      </c>
    </row>
    <row r="60" spans="1:8" x14ac:dyDescent="0.35">
      <c r="A60" s="97" t="s">
        <v>172</v>
      </c>
      <c r="B60" s="99">
        <f>100</f>
        <v>100</v>
      </c>
      <c r="C60" s="99">
        <f>1869.15</f>
        <v>1869.15</v>
      </c>
      <c r="D60" s="99">
        <f>789.28</f>
        <v>789.28</v>
      </c>
      <c r="E60" s="99">
        <f>203.54</f>
        <v>203.54</v>
      </c>
      <c r="F60" s="99">
        <f>108</f>
        <v>108</v>
      </c>
      <c r="G60" s="99">
        <f>811.74</f>
        <v>811.74</v>
      </c>
      <c r="H60" s="99">
        <f t="shared" si="10"/>
        <v>3881.71</v>
      </c>
    </row>
    <row r="61" spans="1:8" x14ac:dyDescent="0.35">
      <c r="A61" s="97" t="s">
        <v>173</v>
      </c>
      <c r="B61" s="98"/>
      <c r="C61" s="99">
        <f>715</f>
        <v>715</v>
      </c>
      <c r="D61" s="99">
        <f>10363</f>
        <v>10363</v>
      </c>
      <c r="E61" s="99">
        <f>449</f>
        <v>449</v>
      </c>
      <c r="F61" s="99">
        <f>6293.94</f>
        <v>6293.94</v>
      </c>
      <c r="G61" s="99">
        <f>2822.4</f>
        <v>2822.4</v>
      </c>
      <c r="H61" s="99">
        <f t="shared" si="10"/>
        <v>20643.34</v>
      </c>
    </row>
    <row r="62" spans="1:8" x14ac:dyDescent="0.35">
      <c r="A62" s="97" t="s">
        <v>174</v>
      </c>
      <c r="B62" s="98"/>
      <c r="C62" s="99">
        <f>-5.24</f>
        <v>-5.24</v>
      </c>
      <c r="D62" s="99">
        <f>707.33</f>
        <v>707.33</v>
      </c>
      <c r="E62" s="99">
        <f>290.16</f>
        <v>290.16000000000003</v>
      </c>
      <c r="F62" s="99">
        <f>2470.71</f>
        <v>2470.71</v>
      </c>
      <c r="G62" s="99">
        <f>491.28</f>
        <v>491.28</v>
      </c>
      <c r="H62" s="99">
        <f t="shared" si="10"/>
        <v>3954.24</v>
      </c>
    </row>
    <row r="63" spans="1:8" x14ac:dyDescent="0.35">
      <c r="A63" s="97" t="s">
        <v>175</v>
      </c>
      <c r="B63" s="99">
        <f>5616.27</f>
        <v>5616.27</v>
      </c>
      <c r="C63" s="99">
        <f>2177.82</f>
        <v>2177.8200000000002</v>
      </c>
      <c r="D63" s="99">
        <f>9662.16</f>
        <v>9662.16</v>
      </c>
      <c r="E63" s="99">
        <f>15150.53</f>
        <v>15150.53</v>
      </c>
      <c r="F63" s="99">
        <f>16836.65</f>
        <v>16836.650000000001</v>
      </c>
      <c r="G63" s="99">
        <f>16348.69</f>
        <v>16348.69</v>
      </c>
      <c r="H63" s="99">
        <f t="shared" si="10"/>
        <v>65792.12</v>
      </c>
    </row>
    <row r="64" spans="1:8" x14ac:dyDescent="0.35">
      <c r="A64" s="97" t="s">
        <v>176</v>
      </c>
      <c r="B64" s="99">
        <f>3757.59</f>
        <v>3757.59</v>
      </c>
      <c r="C64" s="99">
        <f>3559.07</f>
        <v>3559.07</v>
      </c>
      <c r="D64" s="99">
        <f>6670.7</f>
        <v>6670.7</v>
      </c>
      <c r="E64" s="99">
        <f>5923.12</f>
        <v>5923.12</v>
      </c>
      <c r="F64" s="99">
        <f>4410.41</f>
        <v>4410.41</v>
      </c>
      <c r="G64" s="99">
        <f>4498.62</f>
        <v>4498.62</v>
      </c>
      <c r="H64" s="99">
        <f t="shared" si="10"/>
        <v>28819.51</v>
      </c>
    </row>
    <row r="65" spans="1:8" x14ac:dyDescent="0.35">
      <c r="A65" s="97" t="s">
        <v>177</v>
      </c>
      <c r="B65" s="99">
        <f>4562.74</f>
        <v>4562.74</v>
      </c>
      <c r="C65" s="99">
        <f>2692.28</f>
        <v>2692.28</v>
      </c>
      <c r="D65" s="99">
        <f>3620.07</f>
        <v>3620.07</v>
      </c>
      <c r="E65" s="99">
        <f>3233.08</f>
        <v>3233.08</v>
      </c>
      <c r="F65" s="99">
        <f>4080.66</f>
        <v>4080.66</v>
      </c>
      <c r="G65" s="99">
        <f>10410.05</f>
        <v>10410.049999999999</v>
      </c>
      <c r="H65" s="99">
        <f t="shared" si="10"/>
        <v>28598.880000000001</v>
      </c>
    </row>
    <row r="66" spans="1:8" x14ac:dyDescent="0.35">
      <c r="A66" s="97" t="s">
        <v>178</v>
      </c>
      <c r="B66" s="98"/>
      <c r="C66" s="98"/>
      <c r="D66" s="98"/>
      <c r="E66" s="99">
        <f>624.92</f>
        <v>624.91999999999996</v>
      </c>
      <c r="F66" s="99">
        <f>974.92</f>
        <v>974.92</v>
      </c>
      <c r="G66" s="99">
        <f>974.92</f>
        <v>974.92</v>
      </c>
      <c r="H66" s="99">
        <f t="shared" si="10"/>
        <v>2574.7599999999998</v>
      </c>
    </row>
    <row r="67" spans="1:8" x14ac:dyDescent="0.35">
      <c r="A67" s="97" t="s">
        <v>179</v>
      </c>
      <c r="B67" s="98"/>
      <c r="C67" s="98"/>
      <c r="D67" s="98"/>
      <c r="E67" s="98"/>
      <c r="F67" s="98"/>
      <c r="G67" s="98"/>
      <c r="H67" s="99">
        <f t="shared" si="10"/>
        <v>0</v>
      </c>
    </row>
    <row r="68" spans="1:8" x14ac:dyDescent="0.35">
      <c r="A68" s="97" t="s">
        <v>180</v>
      </c>
      <c r="B68" s="99">
        <f>4569.27</f>
        <v>4569.2700000000004</v>
      </c>
      <c r="C68" s="99">
        <f>3597.73</f>
        <v>3597.73</v>
      </c>
      <c r="D68" s="99">
        <f>6229.66</f>
        <v>6229.66</v>
      </c>
      <c r="E68" s="99">
        <f>3747.01</f>
        <v>3747.01</v>
      </c>
      <c r="F68" s="99">
        <f>5637.96</f>
        <v>5637.96</v>
      </c>
      <c r="G68" s="99">
        <f>-4339.84</f>
        <v>-4339.84</v>
      </c>
      <c r="H68" s="99">
        <f t="shared" si="10"/>
        <v>19441.789999999997</v>
      </c>
    </row>
    <row r="69" spans="1:8" x14ac:dyDescent="0.35">
      <c r="A69" s="97" t="s">
        <v>181</v>
      </c>
      <c r="B69" s="100">
        <f t="shared" ref="B69:G69" si="14">(B67)+(B68)</f>
        <v>4569.2700000000004</v>
      </c>
      <c r="C69" s="100">
        <f t="shared" si="14"/>
        <v>3597.73</v>
      </c>
      <c r="D69" s="100">
        <f t="shared" si="14"/>
        <v>6229.66</v>
      </c>
      <c r="E69" s="100">
        <f t="shared" si="14"/>
        <v>3747.01</v>
      </c>
      <c r="F69" s="100">
        <f t="shared" si="14"/>
        <v>5637.96</v>
      </c>
      <c r="G69" s="100">
        <f t="shared" si="14"/>
        <v>-4339.84</v>
      </c>
      <c r="H69" s="100">
        <f t="shared" si="10"/>
        <v>19441.789999999997</v>
      </c>
    </row>
    <row r="70" spans="1:8" x14ac:dyDescent="0.35">
      <c r="A70" s="97" t="s">
        <v>182</v>
      </c>
      <c r="B70" s="99">
        <f>106.23</f>
        <v>106.23</v>
      </c>
      <c r="C70" s="99">
        <f>391.59</f>
        <v>391.59</v>
      </c>
      <c r="D70" s="99">
        <f>294.06</f>
        <v>294.06</v>
      </c>
      <c r="E70" s="99">
        <f>236.75</f>
        <v>236.75</v>
      </c>
      <c r="F70" s="99">
        <f>2047.57</f>
        <v>2047.57</v>
      </c>
      <c r="G70" s="99">
        <f>464.13</f>
        <v>464.13</v>
      </c>
      <c r="H70" s="99">
        <f t="shared" si="10"/>
        <v>3540.33</v>
      </c>
    </row>
    <row r="71" spans="1:8" x14ac:dyDescent="0.35">
      <c r="A71" s="97" t="s">
        <v>183</v>
      </c>
      <c r="B71" s="99">
        <f>3499</f>
        <v>3499</v>
      </c>
      <c r="C71" s="99">
        <f>2520.06</f>
        <v>2520.06</v>
      </c>
      <c r="D71" s="99">
        <f>10475.04</f>
        <v>10475.040000000001</v>
      </c>
      <c r="E71" s="99">
        <f>4611.29</f>
        <v>4611.29</v>
      </c>
      <c r="F71" s="99">
        <f>5269.87</f>
        <v>5269.87</v>
      </c>
      <c r="G71" s="99">
        <f>7279.99</f>
        <v>7279.99</v>
      </c>
      <c r="H71" s="99">
        <f t="shared" si="10"/>
        <v>33655.25</v>
      </c>
    </row>
    <row r="72" spans="1:8" x14ac:dyDescent="0.35">
      <c r="A72" s="97" t="s">
        <v>184</v>
      </c>
      <c r="B72" s="99">
        <f>8182.28</f>
        <v>8182.28</v>
      </c>
      <c r="C72" s="99">
        <f>5168.67</f>
        <v>5168.67</v>
      </c>
      <c r="D72" s="99">
        <f>11934.16</f>
        <v>11934.16</v>
      </c>
      <c r="E72" s="99">
        <f>6245.02</f>
        <v>6245.02</v>
      </c>
      <c r="F72" s="99">
        <f>9377.28</f>
        <v>9377.2800000000007</v>
      </c>
      <c r="G72" s="99">
        <f>9285.61</f>
        <v>9285.61</v>
      </c>
      <c r="H72" s="99">
        <f t="shared" si="10"/>
        <v>50193.020000000004</v>
      </c>
    </row>
    <row r="73" spans="1:8" x14ac:dyDescent="0.35">
      <c r="A73" s="97" t="s">
        <v>185</v>
      </c>
      <c r="B73" s="100">
        <f t="shared" ref="B73:G73" si="15">(((((((((((((B57)+(B58))+(B59))+(B60))+(B61))+(B62))+(B63))+(B64))+(B65))+(B66))+(B69))+(B70))+(B71))+(B72)</f>
        <v>30414.73</v>
      </c>
      <c r="C73" s="100">
        <f t="shared" si="15"/>
        <v>24451.020000000004</v>
      </c>
      <c r="D73" s="100">
        <f t="shared" si="15"/>
        <v>67537.83</v>
      </c>
      <c r="E73" s="100">
        <f t="shared" si="15"/>
        <v>41699.259999999995</v>
      </c>
      <c r="F73" s="100">
        <f t="shared" si="15"/>
        <v>60061.599999999999</v>
      </c>
      <c r="G73" s="100">
        <f t="shared" si="15"/>
        <v>51066.09</v>
      </c>
      <c r="H73" s="100">
        <f t="shared" si="10"/>
        <v>275230.53000000003</v>
      </c>
    </row>
    <row r="74" spans="1:8" x14ac:dyDescent="0.35">
      <c r="A74" s="97" t="s">
        <v>186</v>
      </c>
      <c r="B74" s="98"/>
      <c r="C74" s="98"/>
      <c r="D74" s="98"/>
      <c r="E74" s="98"/>
      <c r="F74" s="98"/>
      <c r="G74" s="98"/>
      <c r="H74" s="99">
        <f t="shared" si="10"/>
        <v>0</v>
      </c>
    </row>
    <row r="75" spans="1:8" x14ac:dyDescent="0.35">
      <c r="A75" s="97" t="s">
        <v>187</v>
      </c>
      <c r="B75" s="99">
        <f>21654.81</f>
        <v>21654.81</v>
      </c>
      <c r="C75" s="99">
        <f>30026.3</f>
        <v>30026.3</v>
      </c>
      <c r="D75" s="99">
        <f>52112.66</f>
        <v>52112.66</v>
      </c>
      <c r="E75" s="99">
        <f>33016.07</f>
        <v>33016.07</v>
      </c>
      <c r="F75" s="99">
        <f>63704.7</f>
        <v>63704.7</v>
      </c>
      <c r="G75" s="99">
        <f>70845.42</f>
        <v>70845.42</v>
      </c>
      <c r="H75" s="99">
        <f t="shared" si="10"/>
        <v>271359.95999999996</v>
      </c>
    </row>
    <row r="76" spans="1:8" x14ac:dyDescent="0.35">
      <c r="A76" s="97" t="s">
        <v>188</v>
      </c>
      <c r="B76" s="99">
        <f>6736.49</f>
        <v>6736.49</v>
      </c>
      <c r="C76" s="99">
        <f>16124.78</f>
        <v>16124.78</v>
      </c>
      <c r="D76" s="99">
        <f>39716.75</f>
        <v>39716.75</v>
      </c>
      <c r="E76" s="99">
        <f>20272.09</f>
        <v>20272.09</v>
      </c>
      <c r="F76" s="99">
        <f>21812.43</f>
        <v>21812.43</v>
      </c>
      <c r="G76" s="99">
        <f>27464.58</f>
        <v>27464.58</v>
      </c>
      <c r="H76" s="99">
        <f t="shared" si="10"/>
        <v>132127.12</v>
      </c>
    </row>
    <row r="77" spans="1:8" x14ac:dyDescent="0.35">
      <c r="A77" s="97" t="s">
        <v>189</v>
      </c>
      <c r="B77" s="99">
        <f>1137.75</f>
        <v>1137.75</v>
      </c>
      <c r="C77" s="99">
        <f>812.83</f>
        <v>812.83</v>
      </c>
      <c r="D77" s="99">
        <f>975.85</f>
        <v>975.85</v>
      </c>
      <c r="E77" s="99">
        <f>1442.74</f>
        <v>1442.74</v>
      </c>
      <c r="F77" s="99">
        <f>4747.02</f>
        <v>4747.0200000000004</v>
      </c>
      <c r="G77" s="99">
        <f>3391.61</f>
        <v>3391.61</v>
      </c>
      <c r="H77" s="99">
        <f t="shared" si="10"/>
        <v>12507.800000000001</v>
      </c>
    </row>
    <row r="78" spans="1:8" x14ac:dyDescent="0.35">
      <c r="A78" s="97" t="s">
        <v>190</v>
      </c>
      <c r="B78" s="99">
        <f>12687.58</f>
        <v>12687.58</v>
      </c>
      <c r="C78" s="99">
        <f>23795.92</f>
        <v>23795.919999999998</v>
      </c>
      <c r="D78" s="99">
        <f>45568.08</f>
        <v>45568.08</v>
      </c>
      <c r="E78" s="99">
        <f>21791.02</f>
        <v>21791.02</v>
      </c>
      <c r="F78" s="99">
        <f>16469.83</f>
        <v>16469.830000000002</v>
      </c>
      <c r="G78" s="99">
        <f>13848.73</f>
        <v>13848.73</v>
      </c>
      <c r="H78" s="99">
        <f t="shared" si="10"/>
        <v>134161.16</v>
      </c>
    </row>
    <row r="79" spans="1:8" x14ac:dyDescent="0.35">
      <c r="A79" s="97" t="s">
        <v>191</v>
      </c>
      <c r="B79" s="99">
        <f>294.12</f>
        <v>294.12</v>
      </c>
      <c r="C79" s="99">
        <f>270.17</f>
        <v>270.17</v>
      </c>
      <c r="D79" s="99">
        <f>375.75</f>
        <v>375.75</v>
      </c>
      <c r="E79" s="99">
        <f>545.84</f>
        <v>545.84</v>
      </c>
      <c r="F79" s="99">
        <f>871.13</f>
        <v>871.13</v>
      </c>
      <c r="G79" s="99">
        <f>585.07</f>
        <v>585.07000000000005</v>
      </c>
      <c r="H79" s="99">
        <f t="shared" si="10"/>
        <v>2942.0800000000004</v>
      </c>
    </row>
    <row r="80" spans="1:8" x14ac:dyDescent="0.35">
      <c r="A80" s="97" t="s">
        <v>192</v>
      </c>
      <c r="B80" s="100">
        <f t="shared" ref="B80:G80" si="16">(((((B74)+(B75))+(B76))+(B77))+(B78))+(B79)</f>
        <v>42510.750000000007</v>
      </c>
      <c r="C80" s="100">
        <f t="shared" si="16"/>
        <v>71030</v>
      </c>
      <c r="D80" s="100">
        <f t="shared" si="16"/>
        <v>138749.09000000003</v>
      </c>
      <c r="E80" s="100">
        <f t="shared" si="16"/>
        <v>77067.759999999995</v>
      </c>
      <c r="F80" s="100">
        <f t="shared" si="16"/>
        <v>107605.11000000002</v>
      </c>
      <c r="G80" s="100">
        <f t="shared" si="16"/>
        <v>116135.41</v>
      </c>
      <c r="H80" s="100">
        <f t="shared" si="10"/>
        <v>553098.12000000011</v>
      </c>
    </row>
    <row r="81" spans="1:8" x14ac:dyDescent="0.35">
      <c r="A81" s="97" t="s">
        <v>193</v>
      </c>
      <c r="B81" s="99">
        <f>1700.78</f>
        <v>1700.78</v>
      </c>
      <c r="C81" s="99">
        <f>1367.63</f>
        <v>1367.63</v>
      </c>
      <c r="D81" s="99">
        <f>1211</f>
        <v>1211</v>
      </c>
      <c r="E81" s="99">
        <f>1612.5</f>
        <v>1612.5</v>
      </c>
      <c r="F81" s="99">
        <f>2820.25</f>
        <v>2820.25</v>
      </c>
      <c r="G81" s="99">
        <f>2145.17</f>
        <v>2145.17</v>
      </c>
      <c r="H81" s="99">
        <f t="shared" si="10"/>
        <v>10857.33</v>
      </c>
    </row>
    <row r="82" spans="1:8" x14ac:dyDescent="0.35">
      <c r="A82" s="97" t="s">
        <v>194</v>
      </c>
      <c r="B82" s="99">
        <f>1299</f>
        <v>1299</v>
      </c>
      <c r="C82" s="99">
        <f>2421.5</f>
        <v>2421.5</v>
      </c>
      <c r="D82" s="99">
        <f>1835.52</f>
        <v>1835.52</v>
      </c>
      <c r="E82" s="99">
        <f>1054.16</f>
        <v>1054.1600000000001</v>
      </c>
      <c r="F82" s="99">
        <f>529.63</f>
        <v>529.63</v>
      </c>
      <c r="G82" s="99">
        <f>1129</f>
        <v>1129</v>
      </c>
      <c r="H82" s="99">
        <f t="shared" si="10"/>
        <v>8268.8100000000013</v>
      </c>
    </row>
    <row r="83" spans="1:8" x14ac:dyDescent="0.35">
      <c r="A83" s="97" t="s">
        <v>195</v>
      </c>
      <c r="B83" s="99">
        <f>3870.58</f>
        <v>3870.58</v>
      </c>
      <c r="C83" s="99">
        <f>3820.05</f>
        <v>3820.05</v>
      </c>
      <c r="D83" s="99">
        <f>3348.85</f>
        <v>3348.85</v>
      </c>
      <c r="E83" s="99">
        <f>4281.86</f>
        <v>4281.8599999999997</v>
      </c>
      <c r="F83" s="99">
        <f>4672.02</f>
        <v>4672.0200000000004</v>
      </c>
      <c r="G83" s="99">
        <f>4274.46</f>
        <v>4274.46</v>
      </c>
      <c r="H83" s="99">
        <f t="shared" si="10"/>
        <v>24267.82</v>
      </c>
    </row>
    <row r="84" spans="1:8" x14ac:dyDescent="0.35">
      <c r="A84" s="97" t="s">
        <v>196</v>
      </c>
      <c r="B84" s="99">
        <f>247.89</f>
        <v>247.89</v>
      </c>
      <c r="C84" s="98"/>
      <c r="D84" s="98"/>
      <c r="E84" s="98"/>
      <c r="F84" s="98"/>
      <c r="G84" s="98"/>
      <c r="H84" s="99">
        <f t="shared" si="10"/>
        <v>247.89</v>
      </c>
    </row>
    <row r="85" spans="1:8" x14ac:dyDescent="0.35">
      <c r="A85" s="97" t="s">
        <v>197</v>
      </c>
      <c r="B85" s="99">
        <f>119.98</f>
        <v>119.98</v>
      </c>
      <c r="C85" s="98"/>
      <c r="D85" s="98"/>
      <c r="E85" s="98"/>
      <c r="F85" s="98"/>
      <c r="G85" s="98"/>
      <c r="H85" s="99">
        <f t="shared" si="10"/>
        <v>119.98</v>
      </c>
    </row>
    <row r="86" spans="1:8" x14ac:dyDescent="0.35">
      <c r="A86" s="97" t="s">
        <v>198</v>
      </c>
      <c r="B86" s="100">
        <f t="shared" ref="B86:G86" si="17">((((B81)+(B82))+(B83))+(B84))+(B85)</f>
        <v>7238.23</v>
      </c>
      <c r="C86" s="100">
        <f t="shared" si="17"/>
        <v>7609.18</v>
      </c>
      <c r="D86" s="100">
        <f t="shared" si="17"/>
        <v>6395.37</v>
      </c>
      <c r="E86" s="100">
        <f t="shared" si="17"/>
        <v>6948.5199999999995</v>
      </c>
      <c r="F86" s="100">
        <f t="shared" si="17"/>
        <v>8021.9000000000005</v>
      </c>
      <c r="G86" s="100">
        <f t="shared" si="17"/>
        <v>7548.63</v>
      </c>
      <c r="H86" s="100">
        <f t="shared" si="10"/>
        <v>43761.829999999994</v>
      </c>
    </row>
    <row r="87" spans="1:8" x14ac:dyDescent="0.35">
      <c r="A87" s="97" t="s">
        <v>199</v>
      </c>
      <c r="B87" s="99">
        <f>9037.93</f>
        <v>9037.93</v>
      </c>
      <c r="C87" s="99">
        <f>8986.4</f>
        <v>8986.4</v>
      </c>
      <c r="D87" s="99">
        <f>9016.72</f>
        <v>9016.7199999999993</v>
      </c>
      <c r="E87" s="99">
        <f>10453.6</f>
        <v>10453.6</v>
      </c>
      <c r="F87" s="99">
        <f>10403.48</f>
        <v>10403.48</v>
      </c>
      <c r="G87" s="99">
        <f>11331.83</f>
        <v>11331.83</v>
      </c>
      <c r="H87" s="99">
        <f t="shared" si="10"/>
        <v>59229.960000000006</v>
      </c>
    </row>
    <row r="88" spans="1:8" x14ac:dyDescent="0.35">
      <c r="A88" s="97" t="s">
        <v>200</v>
      </c>
      <c r="B88" s="99">
        <f>131.81</f>
        <v>131.81</v>
      </c>
      <c r="C88" s="99">
        <f>200</f>
        <v>200</v>
      </c>
      <c r="D88" s="99">
        <f>25.5</f>
        <v>25.5</v>
      </c>
      <c r="E88" s="98"/>
      <c r="F88" s="99">
        <f>5</f>
        <v>5</v>
      </c>
      <c r="G88" s="99">
        <f>122.1</f>
        <v>122.1</v>
      </c>
      <c r="H88" s="99">
        <f t="shared" si="10"/>
        <v>484.40999999999997</v>
      </c>
    </row>
    <row r="89" spans="1:8" x14ac:dyDescent="0.35">
      <c r="A89" s="97" t="s">
        <v>201</v>
      </c>
      <c r="B89" s="99">
        <f>320.25</f>
        <v>320.25</v>
      </c>
      <c r="C89" s="98"/>
      <c r="D89" s="99">
        <f>86.03</f>
        <v>86.03</v>
      </c>
      <c r="E89" s="99">
        <f>800</f>
        <v>800</v>
      </c>
      <c r="F89" s="98"/>
      <c r="G89" s="99">
        <f>151.7</f>
        <v>151.69999999999999</v>
      </c>
      <c r="H89" s="99">
        <f t="shared" si="10"/>
        <v>1357.98</v>
      </c>
    </row>
    <row r="90" spans="1:8" x14ac:dyDescent="0.35">
      <c r="A90" s="97" t="s">
        <v>202</v>
      </c>
      <c r="B90" s="100">
        <f t="shared" ref="B90:G90" si="18">(B88)+(B89)</f>
        <v>452.06</v>
      </c>
      <c r="C90" s="100">
        <f t="shared" si="18"/>
        <v>200</v>
      </c>
      <c r="D90" s="100">
        <f t="shared" si="18"/>
        <v>111.53</v>
      </c>
      <c r="E90" s="100">
        <f t="shared" si="18"/>
        <v>800</v>
      </c>
      <c r="F90" s="100">
        <f t="shared" si="18"/>
        <v>5</v>
      </c>
      <c r="G90" s="100">
        <f t="shared" si="18"/>
        <v>273.79999999999995</v>
      </c>
      <c r="H90" s="100">
        <f t="shared" si="10"/>
        <v>1842.3899999999999</v>
      </c>
    </row>
    <row r="91" spans="1:8" x14ac:dyDescent="0.35">
      <c r="A91" s="97" t="s">
        <v>203</v>
      </c>
      <c r="B91" s="98"/>
      <c r="C91" s="98"/>
      <c r="D91" s="99">
        <f>950</f>
        <v>950</v>
      </c>
      <c r="E91" s="98"/>
      <c r="F91" s="98"/>
      <c r="G91" s="98"/>
      <c r="H91" s="99">
        <f t="shared" si="10"/>
        <v>950</v>
      </c>
    </row>
    <row r="92" spans="1:8" x14ac:dyDescent="0.35">
      <c r="A92" s="97" t="s">
        <v>204</v>
      </c>
      <c r="B92" s="98"/>
      <c r="C92" s="98"/>
      <c r="D92" s="99">
        <f>4.52</f>
        <v>4.5199999999999996</v>
      </c>
      <c r="E92" s="98"/>
      <c r="F92" s="98"/>
      <c r="G92" s="99">
        <f>2.21</f>
        <v>2.21</v>
      </c>
      <c r="H92" s="99">
        <f t="shared" si="10"/>
        <v>6.7299999999999995</v>
      </c>
    </row>
    <row r="93" spans="1:8" x14ac:dyDescent="0.35">
      <c r="A93" s="97" t="s">
        <v>205</v>
      </c>
      <c r="B93" s="100">
        <f t="shared" ref="B93:G93" si="19">(((((((((B43)+(B52))+(B56))+(B73))+(B80))+(B86))+(B87))+(B90))+(B91))+(B92)</f>
        <v>338579.01999999996</v>
      </c>
      <c r="C93" s="100">
        <f t="shared" si="19"/>
        <v>320190.17</v>
      </c>
      <c r="D93" s="100">
        <f t="shared" si="19"/>
        <v>512990.16000000003</v>
      </c>
      <c r="E93" s="100">
        <f t="shared" si="19"/>
        <v>430763.29</v>
      </c>
      <c r="F93" s="100">
        <f t="shared" si="19"/>
        <v>646040.44999999995</v>
      </c>
      <c r="G93" s="100">
        <f t="shared" si="19"/>
        <v>714641.39</v>
      </c>
      <c r="H93" s="100">
        <f t="shared" si="10"/>
        <v>2963204.48</v>
      </c>
    </row>
    <row r="94" spans="1:8" x14ac:dyDescent="0.35">
      <c r="A94" s="97" t="s">
        <v>206</v>
      </c>
      <c r="B94" s="100">
        <f t="shared" ref="B94:G94" ca="1" si="20">(B37)-(B93)</f>
        <v>-349525.09346111177</v>
      </c>
      <c r="C94" s="100">
        <f t="shared" ca="1" si="20"/>
        <v>-337094.50351762999</v>
      </c>
      <c r="D94" s="100">
        <f t="shared" ca="1" si="20"/>
        <v>-552416.90354879363</v>
      </c>
      <c r="E94" s="100">
        <f t="shared" ca="1" si="20"/>
        <v>-411798.82599530811</v>
      </c>
      <c r="F94" s="100">
        <f t="shared" ca="1" si="20"/>
        <v>-689101.13282405469</v>
      </c>
      <c r="G94" s="100">
        <f t="shared" ca="1" si="20"/>
        <v>-682423.89726570214</v>
      </c>
      <c r="H94" s="100">
        <f t="shared" ca="1" si="10"/>
        <v>-3022360.3566125999</v>
      </c>
    </row>
    <row r="95" spans="1:8" x14ac:dyDescent="0.35">
      <c r="A95" s="97" t="s">
        <v>207</v>
      </c>
      <c r="B95" s="98"/>
      <c r="C95" s="98"/>
      <c r="D95" s="98"/>
      <c r="E95" s="98"/>
      <c r="F95" s="98"/>
      <c r="G95" s="98"/>
      <c r="H95" s="98"/>
    </row>
    <row r="96" spans="1:8" x14ac:dyDescent="0.35">
      <c r="A96" s="97" t="s">
        <v>208</v>
      </c>
      <c r="B96" s="99">
        <f>0</f>
        <v>0</v>
      </c>
      <c r="C96" s="99">
        <f>0</f>
        <v>0</v>
      </c>
      <c r="D96" s="99">
        <f>1000</f>
        <v>1000</v>
      </c>
      <c r="E96" s="99">
        <f>0.84</f>
        <v>0.84</v>
      </c>
      <c r="F96" s="99">
        <f>0</f>
        <v>0</v>
      </c>
      <c r="G96" s="99">
        <f>0</f>
        <v>0</v>
      </c>
      <c r="H96" s="99">
        <f>(((((B96)+(C96))+(D96))+(E96))+(F96))+(G96)</f>
        <v>1000.84</v>
      </c>
    </row>
    <row r="97" spans="1:8" x14ac:dyDescent="0.35">
      <c r="A97" s="97" t="s">
        <v>209</v>
      </c>
      <c r="B97" s="98"/>
      <c r="C97" s="98"/>
      <c r="D97" s="99">
        <f>404.2</f>
        <v>404.2</v>
      </c>
      <c r="E97" s="99">
        <f>2197.94</f>
        <v>2197.94</v>
      </c>
      <c r="F97" s="99">
        <f>9953.16</f>
        <v>9953.16</v>
      </c>
      <c r="G97" s="99">
        <f>17434.03</f>
        <v>17434.03</v>
      </c>
      <c r="H97" s="99">
        <f>(((((B97)+(C97))+(D97))+(E97))+(F97))+(G97)</f>
        <v>29989.329999999998</v>
      </c>
    </row>
    <row r="98" spans="1:8" x14ac:dyDescent="0.35">
      <c r="A98" s="97" t="s">
        <v>210</v>
      </c>
      <c r="B98" s="100">
        <f t="shared" ref="B98:G98" si="21">(B96)+(B97)</f>
        <v>0</v>
      </c>
      <c r="C98" s="100">
        <f t="shared" si="21"/>
        <v>0</v>
      </c>
      <c r="D98" s="100">
        <f t="shared" si="21"/>
        <v>1404.2</v>
      </c>
      <c r="E98" s="100">
        <f t="shared" si="21"/>
        <v>2198.7800000000002</v>
      </c>
      <c r="F98" s="100">
        <f t="shared" si="21"/>
        <v>9953.16</v>
      </c>
      <c r="G98" s="100">
        <f t="shared" si="21"/>
        <v>17434.03</v>
      </c>
      <c r="H98" s="100">
        <f>(((((B98)+(C98))+(D98))+(E98))+(F98))+(G98)</f>
        <v>30990.17</v>
      </c>
    </row>
    <row r="99" spans="1:8" x14ac:dyDescent="0.35">
      <c r="A99" s="97" t="s">
        <v>211</v>
      </c>
      <c r="B99" s="100">
        <f t="shared" ref="B99:G99" si="22">(B98)-(0)</f>
        <v>0</v>
      </c>
      <c r="C99" s="100">
        <f t="shared" si="22"/>
        <v>0</v>
      </c>
      <c r="D99" s="100">
        <f t="shared" si="22"/>
        <v>1404.2</v>
      </c>
      <c r="E99" s="100">
        <f t="shared" si="22"/>
        <v>2198.7800000000002</v>
      </c>
      <c r="F99" s="100">
        <f t="shared" si="22"/>
        <v>9953.16</v>
      </c>
      <c r="G99" s="100">
        <f t="shared" si="22"/>
        <v>17434.03</v>
      </c>
      <c r="H99" s="100">
        <f>(((((B99)+(C99))+(D99))+(E99))+(F99))+(G99)</f>
        <v>30990.17</v>
      </c>
    </row>
    <row r="100" spans="1:8" x14ac:dyDescent="0.35">
      <c r="A100" s="97" t="s">
        <v>212</v>
      </c>
      <c r="B100" s="100">
        <f t="shared" ref="B100:G100" ca="1" si="23">(B94)+(B99)</f>
        <v>-349525.09346111177</v>
      </c>
      <c r="C100" s="100">
        <f t="shared" ca="1" si="23"/>
        <v>-337094.50351762999</v>
      </c>
      <c r="D100" s="100">
        <f t="shared" ca="1" si="23"/>
        <v>-551012.70354879368</v>
      </c>
      <c r="E100" s="100">
        <f t="shared" ca="1" si="23"/>
        <v>-409600.04599530809</v>
      </c>
      <c r="F100" s="100">
        <f t="shared" ca="1" si="23"/>
        <v>-679147.97282405465</v>
      </c>
      <c r="G100" s="100">
        <f t="shared" ca="1" si="23"/>
        <v>-664989.86726570211</v>
      </c>
      <c r="H100" s="100">
        <f ca="1">(((((B100)+(C100))+(D100))+(E100))+(F100))+(G100)</f>
        <v>-2991370.1866126005</v>
      </c>
    </row>
    <row r="101" spans="1:8" x14ac:dyDescent="0.35">
      <c r="A101" s="97"/>
      <c r="B101" s="98"/>
      <c r="C101" s="98"/>
      <c r="D101" s="98"/>
      <c r="E101" s="98"/>
      <c r="F101" s="98"/>
      <c r="G101" s="98"/>
      <c r="H101" s="98"/>
    </row>
    <row r="104" spans="1:8" x14ac:dyDescent="0.35">
      <c r="A104" s="101" t="s">
        <v>213</v>
      </c>
      <c r="B104" s="93"/>
      <c r="C104" s="93"/>
      <c r="D104" s="93"/>
      <c r="E104" s="93"/>
      <c r="F104" s="93"/>
      <c r="G104" s="93"/>
      <c r="H104" s="93"/>
    </row>
  </sheetData>
  <mergeCells count="4">
    <mergeCell ref="A1:H1"/>
    <mergeCell ref="A2:H2"/>
    <mergeCell ref="A3:H3"/>
    <mergeCell ref="A104:H10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14"/>
  <sheetViews>
    <sheetView workbookViewId="0">
      <selection activeCell="E11" sqref="E11"/>
    </sheetView>
  </sheetViews>
  <sheetFormatPr defaultRowHeight="14.5" x14ac:dyDescent="0.35"/>
  <cols>
    <col min="2" max="2" width="16.26953125" bestFit="1" customWidth="1"/>
    <col min="3" max="3" width="7.81640625" bestFit="1" customWidth="1"/>
    <col min="4" max="4" width="9.453125" bestFit="1" customWidth="1"/>
  </cols>
  <sheetData>
    <row r="2" spans="2:5" x14ac:dyDescent="0.35">
      <c r="B2" t="s">
        <v>96</v>
      </c>
      <c r="C2" t="s">
        <v>97</v>
      </c>
    </row>
    <row r="3" spans="2:5" x14ac:dyDescent="0.35">
      <c r="D3" t="s">
        <v>99</v>
      </c>
    </row>
    <row r="4" spans="2:5" x14ac:dyDescent="0.35">
      <c r="D4" t="s">
        <v>100</v>
      </c>
    </row>
    <row r="5" spans="2:5" x14ac:dyDescent="0.35">
      <c r="D5" t="s">
        <v>98</v>
      </c>
    </row>
    <row r="8" spans="2:5" x14ac:dyDescent="0.35">
      <c r="B8" t="s">
        <v>106</v>
      </c>
    </row>
    <row r="9" spans="2:5" x14ac:dyDescent="0.35">
      <c r="C9" t="s">
        <v>214</v>
      </c>
      <c r="D9" t="s">
        <v>220</v>
      </c>
    </row>
    <row r="10" spans="2:5" x14ac:dyDescent="0.35">
      <c r="C10" t="s">
        <v>101</v>
      </c>
      <c r="D10" t="s">
        <v>220</v>
      </c>
      <c r="E10" t="s">
        <v>229</v>
      </c>
    </row>
    <row r="12" spans="2:5" x14ac:dyDescent="0.35">
      <c r="C12" t="s">
        <v>107</v>
      </c>
      <c r="D12" t="s">
        <v>220</v>
      </c>
    </row>
    <row r="13" spans="2:5" x14ac:dyDescent="0.35">
      <c r="C13" t="s">
        <v>108</v>
      </c>
    </row>
    <row r="14" spans="2:5" x14ac:dyDescent="0.35">
      <c r="C14" t="s"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EC819-D626-4385-8188-33369E8CF8CD}">
  <dimension ref="B3:H104"/>
  <sheetViews>
    <sheetView workbookViewId="0">
      <selection activeCell="B19" sqref="B19"/>
    </sheetView>
  </sheetViews>
  <sheetFormatPr defaultRowHeight="14.5" x14ac:dyDescent="0.35"/>
  <cols>
    <col min="2" max="2" width="52.6328125" bestFit="1" customWidth="1"/>
    <col min="3" max="3" width="12" customWidth="1"/>
    <col min="12" max="12" width="2.6328125" customWidth="1"/>
  </cols>
  <sheetData>
    <row r="3" spans="2:4" ht="14" customHeight="1" x14ac:dyDescent="0.35">
      <c r="B3" s="1" t="s">
        <v>65</v>
      </c>
      <c r="C3" s="48">
        <v>1000000</v>
      </c>
      <c r="D3" t="s">
        <v>62</v>
      </c>
    </row>
    <row r="4" spans="2:4" ht="14" customHeight="1" x14ac:dyDescent="0.35">
      <c r="B4" s="1"/>
    </row>
    <row r="5" spans="2:4" ht="14" customHeight="1" x14ac:dyDescent="0.35">
      <c r="B5" s="1" t="s">
        <v>57</v>
      </c>
      <c r="C5" s="49">
        <v>0.85</v>
      </c>
      <c r="D5" t="s">
        <v>58</v>
      </c>
    </row>
    <row r="6" spans="2:4" ht="14" customHeight="1" x14ac:dyDescent="0.35">
      <c r="B6" s="1"/>
    </row>
    <row r="7" spans="2:4" ht="14" customHeight="1" x14ac:dyDescent="0.35">
      <c r="B7" s="1" t="s">
        <v>59</v>
      </c>
      <c r="C7">
        <f>C3*C5</f>
        <v>850000</v>
      </c>
    </row>
    <row r="8" spans="2:4" ht="14" customHeight="1" x14ac:dyDescent="0.35">
      <c r="B8" s="1"/>
    </row>
    <row r="9" spans="2:4" ht="14" customHeight="1" x14ac:dyDescent="0.35">
      <c r="B9" s="1" t="s">
        <v>60</v>
      </c>
      <c r="C9" s="49">
        <v>0.02</v>
      </c>
    </row>
    <row r="10" spans="2:4" ht="14" customHeight="1" x14ac:dyDescent="0.35">
      <c r="B10" s="1"/>
    </row>
    <row r="11" spans="2:4" ht="14" customHeight="1" x14ac:dyDescent="0.35">
      <c r="B11" s="1" t="s">
        <v>61</v>
      </c>
      <c r="C11">
        <f>(1-C9)*C7</f>
        <v>833000</v>
      </c>
    </row>
    <row r="12" spans="2:4" ht="14" customHeight="1" x14ac:dyDescent="0.35">
      <c r="B12" s="1" t="s">
        <v>63</v>
      </c>
      <c r="C12">
        <f>C9*C7</f>
        <v>17000</v>
      </c>
    </row>
    <row r="13" spans="2:4" ht="14" customHeight="1" x14ac:dyDescent="0.35">
      <c r="B13" s="1"/>
    </row>
    <row r="14" spans="2:4" ht="14" customHeight="1" x14ac:dyDescent="0.35">
      <c r="B14" s="1" t="s">
        <v>64</v>
      </c>
      <c r="C14" s="48">
        <v>19</v>
      </c>
    </row>
    <row r="15" spans="2:4" ht="14" customHeight="1" x14ac:dyDescent="0.35">
      <c r="B15" s="1"/>
    </row>
    <row r="16" spans="2:4" ht="14" customHeight="1" x14ac:dyDescent="0.35">
      <c r="B16" s="1" t="s">
        <v>0</v>
      </c>
      <c r="C16">
        <f>C14*C12</f>
        <v>323000</v>
      </c>
    </row>
    <row r="17" spans="2:3" ht="14" customHeight="1" x14ac:dyDescent="0.35">
      <c r="B17" s="1"/>
    </row>
    <row r="18" spans="2:3" ht="14" customHeight="1" x14ac:dyDescent="0.35">
      <c r="B18" s="1"/>
    </row>
    <row r="19" spans="2:3" ht="14" customHeight="1" x14ac:dyDescent="0.35">
      <c r="B19" s="66" t="s">
        <v>87</v>
      </c>
      <c r="C19" t="s">
        <v>88</v>
      </c>
    </row>
    <row r="20" spans="2:3" ht="14" customHeight="1" x14ac:dyDescent="0.35">
      <c r="B20" s="1"/>
    </row>
    <row r="21" spans="2:3" ht="14" customHeight="1" x14ac:dyDescent="0.35">
      <c r="B21" s="1"/>
    </row>
    <row r="22" spans="2:3" ht="14" customHeight="1" x14ac:dyDescent="0.35">
      <c r="B22" s="1"/>
    </row>
    <row r="23" spans="2:3" ht="14" customHeight="1" x14ac:dyDescent="0.35">
      <c r="B23" s="1"/>
    </row>
    <row r="24" spans="2:3" ht="14" customHeight="1" x14ac:dyDescent="0.35">
      <c r="B24" s="1"/>
    </row>
    <row r="25" spans="2:3" ht="14" customHeight="1" x14ac:dyDescent="0.35">
      <c r="B25" s="1"/>
    </row>
    <row r="26" spans="2:3" ht="14" customHeight="1" x14ac:dyDescent="0.35">
      <c r="B26" s="1"/>
    </row>
    <row r="27" spans="2:3" ht="14" customHeight="1" x14ac:dyDescent="0.35">
      <c r="B27" s="1"/>
    </row>
    <row r="28" spans="2:3" ht="14" customHeight="1" x14ac:dyDescent="0.35">
      <c r="B28" s="1"/>
    </row>
    <row r="29" spans="2:3" ht="14" customHeight="1" x14ac:dyDescent="0.35">
      <c r="B29" s="1"/>
    </row>
    <row r="30" spans="2:3" ht="14" customHeight="1" x14ac:dyDescent="0.35">
      <c r="B30" s="1"/>
    </row>
    <row r="31" spans="2:3" ht="14" customHeight="1" x14ac:dyDescent="0.35">
      <c r="B31" s="1"/>
    </row>
    <row r="32" spans="2:3" ht="14" customHeight="1" x14ac:dyDescent="0.35">
      <c r="B32" s="1"/>
    </row>
    <row r="33" spans="2:2" ht="14" customHeight="1" x14ac:dyDescent="0.35">
      <c r="B33" s="1"/>
    </row>
    <row r="34" spans="2:2" ht="14" customHeight="1" x14ac:dyDescent="0.35">
      <c r="B34" s="1"/>
    </row>
    <row r="35" spans="2:2" ht="14" customHeight="1" x14ac:dyDescent="0.35">
      <c r="B35" s="1"/>
    </row>
    <row r="36" spans="2:2" ht="14" customHeight="1" x14ac:dyDescent="0.35">
      <c r="B36" s="1"/>
    </row>
    <row r="37" spans="2:2" ht="14" customHeight="1" x14ac:dyDescent="0.35">
      <c r="B37" s="1"/>
    </row>
    <row r="38" spans="2:2" ht="14" customHeight="1" x14ac:dyDescent="0.35">
      <c r="B38" s="1"/>
    </row>
    <row r="39" spans="2:2" ht="14" customHeight="1" x14ac:dyDescent="0.35">
      <c r="B39" s="1"/>
    </row>
    <row r="40" spans="2:2" ht="14" customHeight="1" x14ac:dyDescent="0.35">
      <c r="B40" s="1"/>
    </row>
    <row r="41" spans="2:2" ht="14" customHeight="1" x14ac:dyDescent="0.35">
      <c r="B41" s="1"/>
    </row>
    <row r="42" spans="2:2" ht="14" customHeight="1" x14ac:dyDescent="0.35">
      <c r="B42" s="1"/>
    </row>
    <row r="43" spans="2:2" ht="14" customHeight="1" x14ac:dyDescent="0.35">
      <c r="B43" s="1"/>
    </row>
    <row r="44" spans="2:2" ht="14" customHeight="1" x14ac:dyDescent="0.35">
      <c r="B44" s="1"/>
    </row>
    <row r="45" spans="2:2" ht="14" customHeight="1" x14ac:dyDescent="0.35">
      <c r="B45" s="1"/>
    </row>
    <row r="46" spans="2:2" ht="14" customHeight="1" x14ac:dyDescent="0.35">
      <c r="B46" s="1"/>
    </row>
    <row r="47" spans="2:2" ht="14" customHeight="1" x14ac:dyDescent="0.35">
      <c r="B47" s="1"/>
    </row>
    <row r="48" spans="2:2" ht="14" customHeight="1" x14ac:dyDescent="0.35">
      <c r="B48" s="1"/>
    </row>
    <row r="49" spans="2:2" ht="14" customHeight="1" x14ac:dyDescent="0.35">
      <c r="B49" s="1"/>
    </row>
    <row r="50" spans="2:2" ht="14" customHeight="1" x14ac:dyDescent="0.35">
      <c r="B50" s="1"/>
    </row>
    <row r="51" spans="2:2" ht="14" customHeight="1" x14ac:dyDescent="0.35">
      <c r="B51" s="1"/>
    </row>
    <row r="52" spans="2:2" ht="14" customHeight="1" x14ac:dyDescent="0.35">
      <c r="B52" s="1"/>
    </row>
    <row r="53" spans="2:2" ht="14" customHeight="1" x14ac:dyDescent="0.35">
      <c r="B53" s="1"/>
    </row>
    <row r="54" spans="2:2" ht="14" customHeight="1" x14ac:dyDescent="0.35">
      <c r="B54" s="1"/>
    </row>
    <row r="55" spans="2:2" ht="14" customHeight="1" x14ac:dyDescent="0.35">
      <c r="B55" s="1"/>
    </row>
    <row r="56" spans="2:2" ht="14" customHeight="1" x14ac:dyDescent="0.35">
      <c r="B56" s="1"/>
    </row>
    <row r="57" spans="2:2" ht="14" customHeight="1" x14ac:dyDescent="0.35">
      <c r="B57" s="1"/>
    </row>
    <row r="58" spans="2:2" ht="14" customHeight="1" x14ac:dyDescent="0.35">
      <c r="B58" s="1"/>
    </row>
    <row r="59" spans="2:2" ht="14" customHeight="1" x14ac:dyDescent="0.35">
      <c r="B59" s="1"/>
    </row>
    <row r="60" spans="2:2" ht="14" customHeight="1" x14ac:dyDescent="0.35">
      <c r="B60" s="1"/>
    </row>
    <row r="61" spans="2:2" ht="14" customHeight="1" x14ac:dyDescent="0.35">
      <c r="B61" s="1"/>
    </row>
    <row r="62" spans="2:2" ht="14" customHeight="1" x14ac:dyDescent="0.35">
      <c r="B62" s="1"/>
    </row>
    <row r="63" spans="2:2" ht="14" customHeight="1" x14ac:dyDescent="0.35">
      <c r="B63" s="1"/>
    </row>
    <row r="64" spans="2:2" ht="14" customHeight="1" x14ac:dyDescent="0.35">
      <c r="B64" s="1"/>
    </row>
    <row r="65" spans="2:2" ht="14" customHeight="1" x14ac:dyDescent="0.35">
      <c r="B65" s="1"/>
    </row>
    <row r="66" spans="2:2" ht="14" customHeight="1" x14ac:dyDescent="0.35">
      <c r="B66" s="1"/>
    </row>
    <row r="67" spans="2:2" ht="14" customHeight="1" x14ac:dyDescent="0.35">
      <c r="B67" s="1"/>
    </row>
    <row r="68" spans="2:2" ht="14" customHeight="1" x14ac:dyDescent="0.35">
      <c r="B68" s="1"/>
    </row>
    <row r="69" spans="2:2" ht="14" customHeight="1" x14ac:dyDescent="0.35">
      <c r="B69" s="1"/>
    </row>
    <row r="70" spans="2:2" ht="14" customHeight="1" x14ac:dyDescent="0.35">
      <c r="B70" s="1"/>
    </row>
    <row r="71" spans="2:2" ht="14" customHeight="1" x14ac:dyDescent="0.35">
      <c r="B71" s="1"/>
    </row>
    <row r="72" spans="2:2" ht="14" customHeight="1" x14ac:dyDescent="0.35">
      <c r="B72" s="1"/>
    </row>
    <row r="73" spans="2:2" ht="14" customHeight="1" x14ac:dyDescent="0.35">
      <c r="B73" s="1"/>
    </row>
    <row r="74" spans="2:2" ht="14" customHeight="1" x14ac:dyDescent="0.35">
      <c r="B74" s="1"/>
    </row>
    <row r="75" spans="2:2" ht="14" customHeight="1" x14ac:dyDescent="0.35">
      <c r="B75" s="1"/>
    </row>
    <row r="76" spans="2:2" ht="14" customHeight="1" x14ac:dyDescent="0.35">
      <c r="B76" s="1"/>
    </row>
    <row r="77" spans="2:2" ht="14" customHeight="1" x14ac:dyDescent="0.35">
      <c r="B77" s="1"/>
    </row>
    <row r="78" spans="2:2" ht="14" customHeight="1" x14ac:dyDescent="0.35">
      <c r="B78" s="1"/>
    </row>
    <row r="79" spans="2:2" ht="14" customHeight="1" x14ac:dyDescent="0.35">
      <c r="B79" s="1"/>
    </row>
    <row r="80" spans="2:2" ht="14" customHeight="1" x14ac:dyDescent="0.35">
      <c r="B80" s="1"/>
    </row>
    <row r="81" spans="2:2" ht="14" customHeight="1" x14ac:dyDescent="0.35">
      <c r="B81" s="1"/>
    </row>
    <row r="82" spans="2:2" ht="14" customHeight="1" x14ac:dyDescent="0.35">
      <c r="B82" s="1"/>
    </row>
    <row r="83" spans="2:2" ht="14" customHeight="1" x14ac:dyDescent="0.35">
      <c r="B83" s="1"/>
    </row>
    <row r="84" spans="2:2" ht="14" customHeight="1" x14ac:dyDescent="0.35">
      <c r="B84" s="1"/>
    </row>
    <row r="85" spans="2:2" ht="14" customHeight="1" x14ac:dyDescent="0.35">
      <c r="B85" s="1"/>
    </row>
    <row r="86" spans="2:2" ht="14" customHeight="1" x14ac:dyDescent="0.35">
      <c r="B86" s="1"/>
    </row>
    <row r="87" spans="2:2" ht="14" customHeight="1" x14ac:dyDescent="0.35">
      <c r="B87" s="1"/>
    </row>
    <row r="88" spans="2:2" ht="14" customHeight="1" x14ac:dyDescent="0.35">
      <c r="B88" s="1"/>
    </row>
    <row r="89" spans="2:2" ht="14" customHeight="1" x14ac:dyDescent="0.35">
      <c r="B89" s="1"/>
    </row>
    <row r="90" spans="2:2" ht="14" customHeight="1" x14ac:dyDescent="0.35">
      <c r="B90" s="1"/>
    </row>
    <row r="91" spans="2:2" ht="14" customHeight="1" x14ac:dyDescent="0.35">
      <c r="B91" s="1"/>
    </row>
    <row r="92" spans="2:2" ht="14" customHeight="1" x14ac:dyDescent="0.35">
      <c r="B92" s="1"/>
    </row>
    <row r="93" spans="2:2" ht="14" customHeight="1" x14ac:dyDescent="0.35">
      <c r="B93" s="1"/>
    </row>
    <row r="94" spans="2:2" ht="14" customHeight="1" x14ac:dyDescent="0.35">
      <c r="B94" s="1"/>
    </row>
    <row r="95" spans="2:2" ht="14" customHeight="1" x14ac:dyDescent="0.35">
      <c r="B95" s="1"/>
    </row>
    <row r="96" spans="2:2" ht="14" customHeight="1" x14ac:dyDescent="0.35">
      <c r="B96" s="1"/>
    </row>
    <row r="99" spans="2:8" x14ac:dyDescent="0.35">
      <c r="B99" s="2"/>
    </row>
    <row r="100" spans="2:8" x14ac:dyDescent="0.35">
      <c r="B100" s="3"/>
      <c r="C100" s="4"/>
      <c r="D100" s="5"/>
      <c r="E100" s="5"/>
      <c r="F100" s="5"/>
      <c r="G100" s="4"/>
      <c r="H100" s="4"/>
    </row>
    <row r="101" spans="2:8" x14ac:dyDescent="0.35">
      <c r="B101" s="3"/>
      <c r="C101" s="4"/>
      <c r="D101" s="5"/>
      <c r="E101" s="5"/>
      <c r="F101" s="5"/>
      <c r="G101" s="4"/>
      <c r="H101" s="4"/>
    </row>
    <row r="102" spans="2:8" x14ac:dyDescent="0.35">
      <c r="B102" s="3"/>
      <c r="C102" s="4"/>
      <c r="D102" s="5"/>
      <c r="E102" s="5"/>
      <c r="F102" s="5"/>
      <c r="G102" s="4"/>
      <c r="H102" s="4"/>
    </row>
    <row r="103" spans="2:8" x14ac:dyDescent="0.35">
      <c r="B103" s="3"/>
      <c r="C103" s="4"/>
      <c r="D103" s="5"/>
      <c r="E103" s="5"/>
      <c r="F103" s="5"/>
      <c r="G103" s="4"/>
      <c r="H103" s="4"/>
    </row>
    <row r="104" spans="2:8" x14ac:dyDescent="0.35">
      <c r="B104" s="3"/>
      <c r="C104" s="4"/>
      <c r="D104" s="5"/>
      <c r="E104" s="5"/>
      <c r="F104" s="5"/>
      <c r="G104" s="4"/>
      <c r="H104" s="4"/>
    </row>
  </sheetData>
  <conditionalFormatting sqref="B103">
    <cfRule type="expression" dxfId="1" priority="1">
      <formula>#REF!=$C103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22725-DD20-46AF-BC63-9C787979B10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E2D90-8617-4221-AA40-FE845A934E49}">
  <dimension ref="A2:AA101"/>
  <sheetViews>
    <sheetView zoomScale="42" zoomScaleNormal="42" workbookViewId="0">
      <selection activeCell="E102" sqref="E102"/>
    </sheetView>
  </sheetViews>
  <sheetFormatPr defaultColWidth="0" defaultRowHeight="14.5" outlineLevelRow="1" x14ac:dyDescent="0.35"/>
  <cols>
    <col min="1" max="2" width="11.81640625" customWidth="1"/>
    <col min="3" max="3" width="20.1796875" bestFit="1" customWidth="1"/>
    <col min="4" max="27" width="11.81640625" customWidth="1"/>
    <col min="28" max="16384" width="11.81640625" hidden="1"/>
  </cols>
  <sheetData>
    <row r="2" spans="2:27" ht="15.5" x14ac:dyDescent="0.35">
      <c r="C2" s="56"/>
      <c r="D2" s="56"/>
      <c r="E2" s="56"/>
      <c r="F2" s="56"/>
      <c r="G2" s="56"/>
      <c r="H2" s="56"/>
      <c r="I2" s="56"/>
    </row>
    <row r="9" spans="2:27" ht="15.5" x14ac:dyDescent="0.35">
      <c r="C9" s="56" t="s">
        <v>85</v>
      </c>
      <c r="D9" s="56">
        <v>1</v>
      </c>
      <c r="E9" s="56">
        <f>D9+1</f>
        <v>2</v>
      </c>
      <c r="F9" s="56">
        <f t="shared" ref="F9:M9" si="0">E9+1</f>
        <v>3</v>
      </c>
      <c r="G9" s="56">
        <f t="shared" si="0"/>
        <v>4</v>
      </c>
      <c r="H9" s="56">
        <f t="shared" si="0"/>
        <v>5</v>
      </c>
      <c r="I9" s="56">
        <f t="shared" si="0"/>
        <v>6</v>
      </c>
      <c r="J9" s="56">
        <f t="shared" si="0"/>
        <v>7</v>
      </c>
      <c r="K9" s="56">
        <f t="shared" si="0"/>
        <v>8</v>
      </c>
      <c r="L9" s="56">
        <f t="shared" si="0"/>
        <v>9</v>
      </c>
      <c r="M9" s="56">
        <f t="shared" si="0"/>
        <v>10</v>
      </c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</row>
    <row r="11" spans="2:27" x14ac:dyDescent="0.35">
      <c r="B11" t="s">
        <v>86</v>
      </c>
      <c r="C11" t="s">
        <v>78</v>
      </c>
      <c r="D11">
        <f>GrowthForecast!D35</f>
        <v>5308.3333333333339</v>
      </c>
      <c r="E11">
        <f>GrowthForecast!E35</f>
        <v>8166.666666666667</v>
      </c>
      <c r="F11">
        <f>GrowthForecast!F35</f>
        <v>13475</v>
      </c>
      <c r="G11">
        <f>GrowthForecast!G35</f>
        <v>21560</v>
      </c>
      <c r="H11">
        <f>GrowthForecast!H35</f>
        <v>34496</v>
      </c>
      <c r="I11">
        <f>GrowthForecast!I35</f>
        <v>55193.599999999999</v>
      </c>
      <c r="J11">
        <f>GrowthForecast!J35</f>
        <v>88309.759999999995</v>
      </c>
      <c r="K11">
        <f>GrowthForecast!K35</f>
        <v>141295.61600000001</v>
      </c>
      <c r="L11">
        <f>GrowthForecast!L35</f>
        <v>226072.98560000001</v>
      </c>
      <c r="M11">
        <f>GrowthForecast!M35</f>
        <v>361716.7769600001</v>
      </c>
    </row>
    <row r="13" spans="2:27" x14ac:dyDescent="0.35">
      <c r="C13" t="s">
        <v>79</v>
      </c>
      <c r="D13">
        <f>D11</f>
        <v>5308.3333333333339</v>
      </c>
      <c r="E13" s="59">
        <f>(E11+D13) +E98</f>
        <v>11829.416666666666</v>
      </c>
      <c r="F13" s="59">
        <f>(F11+E13) +F98</f>
        <v>22772.749999999996</v>
      </c>
      <c r="G13" s="59">
        <f t="shared" ref="F13:M13" si="1">(G11+F13) +G98</f>
        <v>40049.333333333328</v>
      </c>
      <c r="H13" s="59">
        <f t="shared" si="1"/>
        <v>67061.399999999994</v>
      </c>
      <c r="I13" s="59">
        <f t="shared" si="1"/>
        <v>110311.73999999999</v>
      </c>
      <c r="J13" s="59">
        <f t="shared" si="1"/>
        <v>179463.28399999999</v>
      </c>
      <c r="K13" s="59">
        <f t="shared" si="1"/>
        <v>290105.75440000003</v>
      </c>
      <c r="L13" s="59">
        <f t="shared" si="1"/>
        <v>467133.70704000001</v>
      </c>
      <c r="M13" s="59">
        <f t="shared" si="1"/>
        <v>750378.43126400013</v>
      </c>
    </row>
    <row r="14" spans="2:27" ht="18" hidden="1" customHeight="1" outlineLevel="1" x14ac:dyDescent="0.35"/>
    <row r="15" spans="2:27" ht="15.5" hidden="1" outlineLevel="1" x14ac:dyDescent="0.35">
      <c r="C15" s="60" t="s">
        <v>80</v>
      </c>
    </row>
    <row r="16" spans="2:27" hidden="1" outlineLevel="1" x14ac:dyDescent="0.35">
      <c r="C16" s="57">
        <v>1</v>
      </c>
      <c r="D16" s="61">
        <f>GrowthForecast!D$19</f>
        <v>0.56000000000000005</v>
      </c>
      <c r="E16" s="61">
        <f>GrowthForecast!E$19</f>
        <v>0.25</v>
      </c>
      <c r="F16" s="61">
        <f>GrowthForecast!F$19</f>
        <v>0.25</v>
      </c>
      <c r="G16" s="61">
        <f>GrowthForecast!G$19</f>
        <v>0.23</v>
      </c>
      <c r="H16" s="61">
        <f>GrowthForecast!H$19</f>
        <v>0.11</v>
      </c>
      <c r="I16" s="61">
        <f>GrowthForecast!I$19</f>
        <v>0.11</v>
      </c>
      <c r="J16" s="61"/>
      <c r="K16" s="61"/>
    </row>
    <row r="17" spans="3:27" hidden="1" outlineLevel="1" x14ac:dyDescent="0.35">
      <c r="C17" s="57">
        <f>C16+1</f>
        <v>2</v>
      </c>
      <c r="D17" s="61" t="str">
        <f>IF(OR(D$9&gt;($C17+5),(D$9-$C17)&lt;0),"",_xlfn.XLOOKUP(D$9-$C16,GrowthForecast!$D$18:$I$18,GrowthForecast!$D$19:$I$19))</f>
        <v/>
      </c>
      <c r="E17" s="61">
        <f>IF(OR(E$9&gt;($C17+5),(E$9-$C17)&lt;0),"",_xlfn.XLOOKUP(E$9-$C16,GrowthForecast!$D$18:$I$18,GrowthForecast!$D$19:$I$19))</f>
        <v>0.56000000000000005</v>
      </c>
      <c r="F17" s="61">
        <f>IF(OR(F$9&gt;($C17+5),(F$9-$C17)&lt;0),"",_xlfn.XLOOKUP(F$9-$C16,GrowthForecast!$D$18:$I$18,GrowthForecast!$D$19:$I$19))</f>
        <v>0.25</v>
      </c>
      <c r="G17" s="61">
        <f>IF(OR(G$9&gt;($C17+5),(G$9-$C17)&lt;0),"",_xlfn.XLOOKUP(G$9-$C16,GrowthForecast!$D$18:$I$18,GrowthForecast!$D$19:$I$19))</f>
        <v>0.25</v>
      </c>
      <c r="H17" s="61">
        <f>IF(OR(H$9&gt;($C17+5),(H$9-$C17)&lt;0),"",_xlfn.XLOOKUP(H$9-$C16,GrowthForecast!$D$18:$I$18,GrowthForecast!$D$19:$I$19))</f>
        <v>0.23</v>
      </c>
      <c r="I17" s="61">
        <f>IF(OR(I$9&gt;($C17+5),(I$9-$C17)&lt;0),"",_xlfn.XLOOKUP(I$9-$C16,GrowthForecast!$D$18:$I$18,GrowthForecast!$D$19:$I$19))</f>
        <v>0.11</v>
      </c>
      <c r="J17" s="61">
        <f>IF(OR(J$9&gt;($C17+5),(J$9-$C17)&lt;0),"",_xlfn.XLOOKUP(J$9-$C16,GrowthForecast!$D$18:$I$18,GrowthForecast!$D$19:$I$19))</f>
        <v>0.11</v>
      </c>
      <c r="K17" s="61" t="str">
        <f>IF(OR(K$9&gt;($C17+5),(K$9-$C17)&lt;0),"",_xlfn.XLOOKUP(K$9-$C16,GrowthForecast!$D$18:$I$18,GrowthForecast!$D$19:$I$19))</f>
        <v/>
      </c>
      <c r="L17" s="61" t="str">
        <f>IF(OR(L$9&gt;($C17+5),(L$9-$C17)&lt;0),"",_xlfn.XLOOKUP(L$9-$C16,GrowthForecast!$D$18:$I$18,GrowthForecast!$D$19:$I$19))</f>
        <v/>
      </c>
      <c r="M17" s="61" t="str">
        <f>IF(OR(M$9&gt;($C17+5),(M$9-$C17)&lt;0),"",_xlfn.XLOOKUP(M$9-$C16,GrowthForecast!$D$18:$I$18,GrowthForecast!$D$19:$I$19))</f>
        <v/>
      </c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</row>
    <row r="18" spans="3:27" hidden="1" outlineLevel="1" x14ac:dyDescent="0.35">
      <c r="C18" s="57">
        <f t="shared" ref="C18:C39" si="2">C17+1</f>
        <v>3</v>
      </c>
      <c r="D18" s="61" t="str">
        <f>IF(OR(D$9&gt;($C18+5),(D$9-$C18)&lt;0),"",_xlfn.XLOOKUP(D$9-$C17,GrowthForecast!$D$18:$I$18,GrowthForecast!$D$19:$I$19))</f>
        <v/>
      </c>
      <c r="E18" s="61" t="str">
        <f>IF(OR(E$9&gt;($C18+5),(E$9-$C18)&lt;0),"",_xlfn.XLOOKUP(E$9-$C17,GrowthForecast!$D$18:$I$18,GrowthForecast!$D$19:$I$19))</f>
        <v/>
      </c>
      <c r="F18" s="61">
        <f>IF(OR(F$9&gt;($C18+5),(F$9-$C18)&lt;0),"",_xlfn.XLOOKUP(F$9-$C17,GrowthForecast!$D$18:$I$18,GrowthForecast!$D$19:$I$19))</f>
        <v>0.56000000000000005</v>
      </c>
      <c r="G18" s="61">
        <f>IF(OR(G$9&gt;($C18+5),(G$9-$C18)&lt;0),"",_xlfn.XLOOKUP(G$9-$C17,GrowthForecast!$D$18:$I$18,GrowthForecast!$D$19:$I$19))</f>
        <v>0.25</v>
      </c>
      <c r="H18" s="61">
        <f>IF(OR(H$9&gt;($C18+5),(H$9-$C18)&lt;0),"",_xlfn.XLOOKUP(H$9-$C17,GrowthForecast!$D$18:$I$18,GrowthForecast!$D$19:$I$19))</f>
        <v>0.25</v>
      </c>
      <c r="I18" s="61">
        <f>IF(OR(I$9&gt;($C18+5),(I$9-$C18)&lt;0),"",_xlfn.XLOOKUP(I$9-$C17,GrowthForecast!$D$18:$I$18,GrowthForecast!$D$19:$I$19))</f>
        <v>0.23</v>
      </c>
      <c r="J18" s="61">
        <f>IF(OR(J$9&gt;($C18+5),(J$9-$C18)&lt;0),"",_xlfn.XLOOKUP(J$9-$C17,GrowthForecast!$D$18:$I$18,GrowthForecast!$D$19:$I$19))</f>
        <v>0.11</v>
      </c>
      <c r="K18" s="61">
        <f>IF(OR(K$9&gt;($C18+5),(K$9-$C18)&lt;0),"",_xlfn.XLOOKUP(K$9-$C17,GrowthForecast!$D$18:$I$18,GrowthForecast!$D$19:$I$19))</f>
        <v>0.11</v>
      </c>
      <c r="L18" s="61" t="str">
        <f>IF(OR(L$9&gt;($C18+5),(L$9-$C18)&lt;0),"",_xlfn.XLOOKUP(L$9-$C17,GrowthForecast!$D$18:$I$18,GrowthForecast!$D$19:$I$19))</f>
        <v/>
      </c>
      <c r="M18" s="61" t="str">
        <f>IF(OR(M$9&gt;($C18+5),(M$9-$C18)&lt;0),"",_xlfn.XLOOKUP(M$9-$C17,GrowthForecast!$D$18:$I$18,GrowthForecast!$D$19:$I$19))</f>
        <v/>
      </c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</row>
    <row r="19" spans="3:27" hidden="1" outlineLevel="1" x14ac:dyDescent="0.35">
      <c r="C19" s="57">
        <f t="shared" si="2"/>
        <v>4</v>
      </c>
      <c r="D19" s="61" t="str">
        <f>IF(OR(D$9&gt;($C19+5),(D$9-$C19)&lt;0),"",_xlfn.XLOOKUP(D$9-$C18,GrowthForecast!$D$18:$I$18,GrowthForecast!$D$19:$I$19))</f>
        <v/>
      </c>
      <c r="E19" s="61" t="str">
        <f>IF(OR(E$9&gt;($C19+5),(E$9-$C19)&lt;0),"",_xlfn.XLOOKUP(E$9-$C18,GrowthForecast!$D$18:$I$18,GrowthForecast!$D$19:$I$19))</f>
        <v/>
      </c>
      <c r="F19" s="61" t="str">
        <f>IF(OR(F$9&gt;($C19+5),(F$9-$C19)&lt;0),"",_xlfn.XLOOKUP(F$9-$C18,GrowthForecast!$D$18:$I$18,GrowthForecast!$D$19:$I$19))</f>
        <v/>
      </c>
      <c r="G19" s="61">
        <f>IF(OR(G$9&gt;($C19+5),(G$9-$C19)&lt;0),"",_xlfn.XLOOKUP(G$9-$C18,GrowthForecast!$D$18:$I$18,GrowthForecast!$D$19:$I$19))</f>
        <v>0.56000000000000005</v>
      </c>
      <c r="H19" s="61">
        <f>IF(OR(H$9&gt;($C19+5),(H$9-$C19)&lt;0),"",_xlfn.XLOOKUP(H$9-$C18,GrowthForecast!$D$18:$I$18,GrowthForecast!$D$19:$I$19))</f>
        <v>0.25</v>
      </c>
      <c r="I19" s="61">
        <f>IF(OR(I$9&gt;($C19+5),(I$9-$C19)&lt;0),"",_xlfn.XLOOKUP(I$9-$C18,GrowthForecast!$D$18:$I$18,GrowthForecast!$D$19:$I$19))</f>
        <v>0.25</v>
      </c>
      <c r="J19" s="61">
        <f>IF(OR(J$9&gt;($C19+5),(J$9-$C19)&lt;0),"",_xlfn.XLOOKUP(J$9-$C18,GrowthForecast!$D$18:$I$18,GrowthForecast!$D$19:$I$19))</f>
        <v>0.23</v>
      </c>
      <c r="K19" s="61">
        <f>IF(OR(K$9&gt;($C19+5),(K$9-$C19)&lt;0),"",_xlfn.XLOOKUP(K$9-$C18,GrowthForecast!$D$18:$I$18,GrowthForecast!$D$19:$I$19))</f>
        <v>0.11</v>
      </c>
      <c r="L19" s="61">
        <f>IF(OR(L$9&gt;($C19+5),(L$9-$C19)&lt;0),"",_xlfn.XLOOKUP(L$9-$C18,GrowthForecast!$D$18:$I$18,GrowthForecast!$D$19:$I$19))</f>
        <v>0.11</v>
      </c>
      <c r="M19" s="61" t="str">
        <f>IF(OR(M$9&gt;($C19+5),(M$9-$C19)&lt;0),"",_xlfn.XLOOKUP(M$9-$C18,GrowthForecast!$D$18:$I$18,GrowthForecast!$D$19:$I$19))</f>
        <v/>
      </c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</row>
    <row r="20" spans="3:27" hidden="1" outlineLevel="1" x14ac:dyDescent="0.35">
      <c r="C20" s="57">
        <f t="shared" si="2"/>
        <v>5</v>
      </c>
      <c r="D20" s="61" t="str">
        <f>IF(OR(D$9&gt;($C20+5),(D$9-$C20)&lt;0),"",_xlfn.XLOOKUP(D$9-$C19,GrowthForecast!$D$18:$I$18,GrowthForecast!$D$19:$I$19))</f>
        <v/>
      </c>
      <c r="E20" s="61" t="str">
        <f>IF(OR(E$9&gt;($C20+5),(E$9-$C20)&lt;0),"",_xlfn.XLOOKUP(E$9-$C19,GrowthForecast!$D$18:$I$18,GrowthForecast!$D$19:$I$19))</f>
        <v/>
      </c>
      <c r="F20" s="61" t="str">
        <f>IF(OR(F$9&gt;($C20+5),(F$9-$C20)&lt;0),"",_xlfn.XLOOKUP(F$9-$C19,GrowthForecast!$D$18:$I$18,GrowthForecast!$D$19:$I$19))</f>
        <v/>
      </c>
      <c r="G20" s="61" t="str">
        <f>IF(OR(G$9&gt;($C20+5),(G$9-$C20)&lt;0),"",_xlfn.XLOOKUP(G$9-$C19,GrowthForecast!$D$18:$I$18,GrowthForecast!$D$19:$I$19))</f>
        <v/>
      </c>
      <c r="H20" s="61">
        <f>IF(OR(H$9&gt;($C20+5),(H$9-$C20)&lt;0),"",_xlfn.XLOOKUP(H$9-$C19,GrowthForecast!$D$18:$I$18,GrowthForecast!$D$19:$I$19))</f>
        <v>0.56000000000000005</v>
      </c>
      <c r="I20" s="61">
        <f>IF(OR(I$9&gt;($C20+5),(I$9-$C20)&lt;0),"",_xlfn.XLOOKUP(I$9-$C19,GrowthForecast!$D$18:$I$18,GrowthForecast!$D$19:$I$19))</f>
        <v>0.25</v>
      </c>
      <c r="J20" s="61">
        <f>IF(OR(J$9&gt;($C20+5),(J$9-$C20)&lt;0),"",_xlfn.XLOOKUP(J$9-$C19,GrowthForecast!$D$18:$I$18,GrowthForecast!$D$19:$I$19))</f>
        <v>0.25</v>
      </c>
      <c r="K20" s="61">
        <f>IF(OR(K$9&gt;($C20+5),(K$9-$C20)&lt;0),"",_xlfn.XLOOKUP(K$9-$C19,GrowthForecast!$D$18:$I$18,GrowthForecast!$D$19:$I$19))</f>
        <v>0.23</v>
      </c>
      <c r="L20" s="61">
        <f>IF(OR(L$9&gt;($C20+5),(L$9-$C20)&lt;0),"",_xlfn.XLOOKUP(L$9-$C19,GrowthForecast!$D$18:$I$18,GrowthForecast!$D$19:$I$19))</f>
        <v>0.11</v>
      </c>
      <c r="M20" s="61">
        <f>IF(OR(M$9&gt;($C20+5),(M$9-$C20)&lt;0),"",_xlfn.XLOOKUP(M$9-$C19,GrowthForecast!$D$18:$I$18,GrowthForecast!$D$19:$I$19))</f>
        <v>0.11</v>
      </c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</row>
    <row r="21" spans="3:27" hidden="1" outlineLevel="1" x14ac:dyDescent="0.35">
      <c r="C21" s="57">
        <f t="shared" si="2"/>
        <v>6</v>
      </c>
      <c r="D21" s="61" t="str">
        <f>IF(OR(D$9&gt;($C21+5),(D$9-$C21)&lt;0),"",_xlfn.XLOOKUP(D$9-$C20,GrowthForecast!$D$18:$I$18,GrowthForecast!$D$19:$I$19))</f>
        <v/>
      </c>
      <c r="E21" s="61" t="str">
        <f>IF(OR(E$9&gt;($C21+5),(E$9-$C21)&lt;0),"",_xlfn.XLOOKUP(E$9-$C20,GrowthForecast!$D$18:$I$18,GrowthForecast!$D$19:$I$19))</f>
        <v/>
      </c>
      <c r="F21" s="61" t="str">
        <f>IF(OR(F$9&gt;($C21+5),(F$9-$C21)&lt;0),"",_xlfn.XLOOKUP(F$9-$C20,GrowthForecast!$D$18:$I$18,GrowthForecast!$D$19:$I$19))</f>
        <v/>
      </c>
      <c r="G21" s="61" t="str">
        <f>IF(OR(G$9&gt;($C21+5),(G$9-$C21)&lt;0),"",_xlfn.XLOOKUP(G$9-$C20,GrowthForecast!$D$18:$I$18,GrowthForecast!$D$19:$I$19))</f>
        <v/>
      </c>
      <c r="H21" s="61" t="str">
        <f>IF(OR(H$9&gt;($C21+5),(H$9-$C21)&lt;0),"",_xlfn.XLOOKUP(H$9-$C20,GrowthForecast!$D$18:$I$18,GrowthForecast!$D$19:$I$19))</f>
        <v/>
      </c>
      <c r="I21" s="61">
        <f>IF(OR(I$9&gt;($C21+5),(I$9-$C21)&lt;0),"",_xlfn.XLOOKUP(I$9-$C20,GrowthForecast!$D$18:$I$18,GrowthForecast!$D$19:$I$19))</f>
        <v>0.56000000000000005</v>
      </c>
      <c r="J21" s="61">
        <f>IF(OR(J$9&gt;($C21+5),(J$9-$C21)&lt;0),"",_xlfn.XLOOKUP(J$9-$C20,GrowthForecast!$D$18:$I$18,GrowthForecast!$D$19:$I$19))</f>
        <v>0.25</v>
      </c>
      <c r="K21" s="61">
        <f>IF(OR(K$9&gt;($C21+5),(K$9-$C21)&lt;0),"",_xlfn.XLOOKUP(K$9-$C20,GrowthForecast!$D$18:$I$18,GrowthForecast!$D$19:$I$19))</f>
        <v>0.25</v>
      </c>
      <c r="L21" s="61">
        <f>IF(OR(L$9&gt;($C21+5),(L$9-$C21)&lt;0),"",_xlfn.XLOOKUP(L$9-$C20,GrowthForecast!$D$18:$I$18,GrowthForecast!$D$19:$I$19))</f>
        <v>0.23</v>
      </c>
      <c r="M21" s="61">
        <f>IF(OR(M$9&gt;($C21+5),(M$9-$C21)&lt;0),"",_xlfn.XLOOKUP(M$9-$C20,GrowthForecast!$D$18:$I$18,GrowthForecast!$D$19:$I$19))</f>
        <v>0.11</v>
      </c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</row>
    <row r="22" spans="3:27" hidden="1" outlineLevel="1" x14ac:dyDescent="0.35">
      <c r="C22" s="57">
        <f t="shared" si="2"/>
        <v>7</v>
      </c>
      <c r="D22" s="61" t="str">
        <f>IF(OR(D$9&gt;($C22+5),(D$9-$C22)&lt;0),"",_xlfn.XLOOKUP(D$9-$C21,GrowthForecast!$D$18:$I$18,GrowthForecast!$D$19:$I$19))</f>
        <v/>
      </c>
      <c r="E22" s="61" t="str">
        <f>IF(OR(E$9&gt;($C22+5),(E$9-$C22)&lt;0),"",_xlfn.XLOOKUP(E$9-$C21,GrowthForecast!$D$18:$I$18,GrowthForecast!$D$19:$I$19))</f>
        <v/>
      </c>
      <c r="F22" s="61" t="str">
        <f>IF(OR(F$9&gt;($C22+5),(F$9-$C22)&lt;0),"",_xlfn.XLOOKUP(F$9-$C21,GrowthForecast!$D$18:$I$18,GrowthForecast!$D$19:$I$19))</f>
        <v/>
      </c>
      <c r="G22" s="61" t="str">
        <f>IF(OR(G$9&gt;($C22+5),(G$9-$C22)&lt;0),"",_xlfn.XLOOKUP(G$9-$C21,GrowthForecast!$D$18:$I$18,GrowthForecast!$D$19:$I$19))</f>
        <v/>
      </c>
      <c r="H22" s="61" t="str">
        <f>IF(OR(H$9&gt;($C22+5),(H$9-$C22)&lt;0),"",_xlfn.XLOOKUP(H$9-$C21,GrowthForecast!$D$18:$I$18,GrowthForecast!$D$19:$I$19))</f>
        <v/>
      </c>
      <c r="I22" s="61" t="str">
        <f>IF(OR(I$9&gt;($C22+5),(I$9-$C22)&lt;0),"",_xlfn.XLOOKUP(I$9-$C21,GrowthForecast!$D$18:$I$18,GrowthForecast!$D$19:$I$19))</f>
        <v/>
      </c>
      <c r="J22" s="61">
        <f>IF(OR(J$9&gt;($C22+5),(J$9-$C22)&lt;0),"",_xlfn.XLOOKUP(J$9-$C21,GrowthForecast!$D$18:$I$18,GrowthForecast!$D$19:$I$19))</f>
        <v>0.56000000000000005</v>
      </c>
      <c r="K22" s="61">
        <f>IF(OR(K$9&gt;($C22+5),(K$9-$C22)&lt;0),"",_xlfn.XLOOKUP(K$9-$C21,GrowthForecast!$D$18:$I$18,GrowthForecast!$D$19:$I$19))</f>
        <v>0.25</v>
      </c>
      <c r="L22" s="61">
        <f>IF(OR(L$9&gt;($C22+5),(L$9-$C22)&lt;0),"",_xlfn.XLOOKUP(L$9-$C21,GrowthForecast!$D$18:$I$18,GrowthForecast!$D$19:$I$19))</f>
        <v>0.25</v>
      </c>
      <c r="M22" s="61">
        <f>IF(OR(M$9&gt;($C22+5),(M$9-$C22)&lt;0),"",_xlfn.XLOOKUP(M$9-$C21,GrowthForecast!$D$18:$I$18,GrowthForecast!$D$19:$I$19))</f>
        <v>0.23</v>
      </c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</row>
    <row r="23" spans="3:27" hidden="1" outlineLevel="1" x14ac:dyDescent="0.35">
      <c r="C23" s="57">
        <f t="shared" si="2"/>
        <v>8</v>
      </c>
      <c r="D23" s="61" t="str">
        <f>IF(OR(D$9&gt;($C23+5),(D$9-$C23)&lt;0),"",_xlfn.XLOOKUP(D$9-$C22,GrowthForecast!$D$18:$I$18,GrowthForecast!$D$19:$I$19))</f>
        <v/>
      </c>
      <c r="E23" s="61" t="str">
        <f>IF(OR(E$9&gt;($C23+5),(E$9-$C23)&lt;0),"",_xlfn.XLOOKUP(E$9-$C22,GrowthForecast!$D$18:$I$18,GrowthForecast!$D$19:$I$19))</f>
        <v/>
      </c>
      <c r="F23" s="61" t="str">
        <f>IF(OR(F$9&gt;($C23+5),(F$9-$C23)&lt;0),"",_xlfn.XLOOKUP(F$9-$C22,GrowthForecast!$D$18:$I$18,GrowthForecast!$D$19:$I$19))</f>
        <v/>
      </c>
      <c r="G23" s="61" t="str">
        <f>IF(OR(G$9&gt;($C23+5),(G$9-$C23)&lt;0),"",_xlfn.XLOOKUP(G$9-$C22,GrowthForecast!$D$18:$I$18,GrowthForecast!$D$19:$I$19))</f>
        <v/>
      </c>
      <c r="H23" s="61" t="str">
        <f>IF(OR(H$9&gt;($C23+5),(H$9-$C23)&lt;0),"",_xlfn.XLOOKUP(H$9-$C22,GrowthForecast!$D$18:$I$18,GrowthForecast!$D$19:$I$19))</f>
        <v/>
      </c>
      <c r="I23" s="61" t="str">
        <f>IF(OR(I$9&gt;($C23+5),(I$9-$C23)&lt;0),"",_xlfn.XLOOKUP(I$9-$C22,GrowthForecast!$D$18:$I$18,GrowthForecast!$D$19:$I$19))</f>
        <v/>
      </c>
      <c r="J23" s="61" t="str">
        <f>IF(OR(J$9&gt;($C23+5),(J$9-$C23)&lt;0),"",_xlfn.XLOOKUP(J$9-$C22,GrowthForecast!$D$18:$I$18,GrowthForecast!$D$19:$I$19))</f>
        <v/>
      </c>
      <c r="K23" s="61">
        <f>IF(OR(K$9&gt;($C23+5),(K$9-$C23)&lt;0),"",_xlfn.XLOOKUP(K$9-$C22,GrowthForecast!$D$18:$I$18,GrowthForecast!$D$19:$I$19))</f>
        <v>0.56000000000000005</v>
      </c>
      <c r="L23" s="61">
        <f>IF(OR(L$9&gt;($C23+5),(L$9-$C23)&lt;0),"",_xlfn.XLOOKUP(L$9-$C22,GrowthForecast!$D$18:$I$18,GrowthForecast!$D$19:$I$19))</f>
        <v>0.25</v>
      </c>
      <c r="M23" s="61">
        <f>IF(OR(M$9&gt;($C23+5),(M$9-$C23)&lt;0),"",_xlfn.XLOOKUP(M$9-$C22,GrowthForecast!$D$18:$I$18,GrowthForecast!$D$19:$I$19))</f>
        <v>0.25</v>
      </c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</row>
    <row r="24" spans="3:27" hidden="1" outlineLevel="1" x14ac:dyDescent="0.35">
      <c r="C24" s="57">
        <f t="shared" si="2"/>
        <v>9</v>
      </c>
      <c r="D24" s="61" t="str">
        <f>IF(OR(D$9&gt;($C24+5),(D$9-$C24)&lt;0),"",_xlfn.XLOOKUP(D$9-$C23,GrowthForecast!$D$18:$I$18,GrowthForecast!$D$19:$I$19))</f>
        <v/>
      </c>
      <c r="E24" s="61" t="str">
        <f>IF(OR(E$9&gt;($C24+5),(E$9-$C24)&lt;0),"",_xlfn.XLOOKUP(E$9-$C23,GrowthForecast!$D$18:$I$18,GrowthForecast!$D$19:$I$19))</f>
        <v/>
      </c>
      <c r="F24" s="61" t="str">
        <f>IF(OR(F$9&gt;($C24+5),(F$9-$C24)&lt;0),"",_xlfn.XLOOKUP(F$9-$C23,GrowthForecast!$D$18:$I$18,GrowthForecast!$D$19:$I$19))</f>
        <v/>
      </c>
      <c r="G24" s="61" t="str">
        <f>IF(OR(G$9&gt;($C24+5),(G$9-$C24)&lt;0),"",_xlfn.XLOOKUP(G$9-$C23,GrowthForecast!$D$18:$I$18,GrowthForecast!$D$19:$I$19))</f>
        <v/>
      </c>
      <c r="H24" s="61" t="str">
        <f>IF(OR(H$9&gt;($C24+5),(H$9-$C24)&lt;0),"",_xlfn.XLOOKUP(H$9-$C23,GrowthForecast!$D$18:$I$18,GrowthForecast!$D$19:$I$19))</f>
        <v/>
      </c>
      <c r="I24" s="61" t="str">
        <f>IF(OR(I$9&gt;($C24+5),(I$9-$C24)&lt;0),"",_xlfn.XLOOKUP(I$9-$C23,GrowthForecast!$D$18:$I$18,GrowthForecast!$D$19:$I$19))</f>
        <v/>
      </c>
      <c r="J24" s="61" t="str">
        <f>IF(OR(J$9&gt;($C24+5),(J$9-$C24)&lt;0),"",_xlfn.XLOOKUP(J$9-$C23,GrowthForecast!$D$18:$I$18,GrowthForecast!$D$19:$I$19))</f>
        <v/>
      </c>
      <c r="K24" s="61" t="str">
        <f>IF(OR(K$9&gt;($C24+5),(K$9-$C24)&lt;0),"",_xlfn.XLOOKUP(K$9-$C23,GrowthForecast!$D$18:$I$18,GrowthForecast!$D$19:$I$19))</f>
        <v/>
      </c>
      <c r="L24" s="61">
        <f>IF(OR(L$9&gt;($C24+5),(L$9-$C24)&lt;0),"",_xlfn.XLOOKUP(L$9-$C23,GrowthForecast!$D$18:$I$18,GrowthForecast!$D$19:$I$19))</f>
        <v>0.56000000000000005</v>
      </c>
      <c r="M24" s="61">
        <f>IF(OR(M$9&gt;($C24+5),(M$9-$C24)&lt;0),"",_xlfn.XLOOKUP(M$9-$C23,GrowthForecast!$D$18:$I$18,GrowthForecast!$D$19:$I$19))</f>
        <v>0.25</v>
      </c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</row>
    <row r="25" spans="3:27" hidden="1" outlineLevel="1" x14ac:dyDescent="0.35">
      <c r="C25" s="57">
        <f t="shared" si="2"/>
        <v>10</v>
      </c>
      <c r="D25" s="61" t="str">
        <f>IF(OR(D$9&gt;($C25+5),(D$9-$C25)&lt;0),"",_xlfn.XLOOKUP(D$9-$C24,GrowthForecast!$D$18:$I$18,GrowthForecast!$D$19:$I$19))</f>
        <v/>
      </c>
      <c r="E25" s="61" t="str">
        <f>IF(OR(E$9&gt;($C25+5),(E$9-$C25)&lt;0),"",_xlfn.XLOOKUP(E$9-$C24,GrowthForecast!$D$18:$I$18,GrowthForecast!$D$19:$I$19))</f>
        <v/>
      </c>
      <c r="F25" s="61" t="str">
        <f>IF(OR(F$9&gt;($C25+5),(F$9-$C25)&lt;0),"",_xlfn.XLOOKUP(F$9-$C24,GrowthForecast!$D$18:$I$18,GrowthForecast!$D$19:$I$19))</f>
        <v/>
      </c>
      <c r="G25" s="61" t="str">
        <f>IF(OR(G$9&gt;($C25+5),(G$9-$C25)&lt;0),"",_xlfn.XLOOKUP(G$9-$C24,GrowthForecast!$D$18:$I$18,GrowthForecast!$D$19:$I$19))</f>
        <v/>
      </c>
      <c r="H25" s="61" t="str">
        <f>IF(OR(H$9&gt;($C25+5),(H$9-$C25)&lt;0),"",_xlfn.XLOOKUP(H$9-$C24,GrowthForecast!$D$18:$I$18,GrowthForecast!$D$19:$I$19))</f>
        <v/>
      </c>
      <c r="I25" s="61" t="str">
        <f>IF(OR(I$9&gt;($C25+5),(I$9-$C25)&lt;0),"",_xlfn.XLOOKUP(I$9-$C24,GrowthForecast!$D$18:$I$18,GrowthForecast!$D$19:$I$19))</f>
        <v/>
      </c>
      <c r="J25" s="61" t="str">
        <f>IF(OR(J$9&gt;($C25+5),(J$9-$C25)&lt;0),"",_xlfn.XLOOKUP(J$9-$C24,GrowthForecast!$D$18:$I$18,GrowthForecast!$D$19:$I$19))</f>
        <v/>
      </c>
      <c r="K25" s="61" t="str">
        <f>IF(OR(K$9&gt;($C25+5),(K$9-$C25)&lt;0),"",_xlfn.XLOOKUP(K$9-$C24,GrowthForecast!$D$18:$I$18,GrowthForecast!$D$19:$I$19))</f>
        <v/>
      </c>
      <c r="L25" s="61" t="str">
        <f>IF(OR(L$9&gt;($C25+5),(L$9-$C25)&lt;0),"",_xlfn.XLOOKUP(L$9-$C24,GrowthForecast!$D$18:$I$18,GrowthForecast!$D$19:$I$19))</f>
        <v/>
      </c>
      <c r="M25" s="61">
        <f>IF(OR(M$9&gt;($C25+5),(M$9-$C25)&lt;0),"",_xlfn.XLOOKUP(M$9-$C24,GrowthForecast!$D$18:$I$18,GrowthForecast!$D$19:$I$19))</f>
        <v>0.56000000000000005</v>
      </c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</row>
    <row r="26" spans="3:27" hidden="1" outlineLevel="1" x14ac:dyDescent="0.35">
      <c r="C26" s="57">
        <f t="shared" si="2"/>
        <v>11</v>
      </c>
      <c r="D26" s="61" t="str">
        <f>IF(OR(D$9&gt;($C26+5),(D$9-$C26)&lt;0),"",_xlfn.XLOOKUP(D$9-$C25,GrowthForecast!$D$18:$I$18,GrowthForecast!$D$19:$I$19))</f>
        <v/>
      </c>
      <c r="E26" s="61" t="str">
        <f>IF(OR(E$9&gt;($C26+5),(E$9-$C26)&lt;0),"",_xlfn.XLOOKUP(E$9-$C25,GrowthForecast!$D$18:$I$18,GrowthForecast!$D$19:$I$19))</f>
        <v/>
      </c>
      <c r="F26" s="61" t="str">
        <f>IF(OR(F$9&gt;($C26+5),(F$9-$C26)&lt;0),"",_xlfn.XLOOKUP(F$9-$C25,GrowthForecast!$D$18:$I$18,GrowthForecast!$D$19:$I$19))</f>
        <v/>
      </c>
      <c r="G26" s="61" t="str">
        <f>IF(OR(G$9&gt;($C26+5),(G$9-$C26)&lt;0),"",_xlfn.XLOOKUP(G$9-$C25,GrowthForecast!$D$18:$I$18,GrowthForecast!$D$19:$I$19))</f>
        <v/>
      </c>
      <c r="H26" s="61" t="str">
        <f>IF(OR(H$9&gt;($C26+5),(H$9-$C26)&lt;0),"",_xlfn.XLOOKUP(H$9-$C25,GrowthForecast!$D$18:$I$18,GrowthForecast!$D$19:$I$19))</f>
        <v/>
      </c>
      <c r="I26" s="61" t="str">
        <f>IF(OR(I$9&gt;($C26+5),(I$9-$C26)&lt;0),"",_xlfn.XLOOKUP(I$9-$C25,GrowthForecast!$D$18:$I$18,GrowthForecast!$D$19:$I$19))</f>
        <v/>
      </c>
      <c r="J26" s="61" t="str">
        <f>IF(OR(J$9&gt;($C26+5),(J$9-$C26)&lt;0),"",_xlfn.XLOOKUP(J$9-$C25,GrowthForecast!$D$18:$I$18,GrowthForecast!$D$19:$I$19))</f>
        <v/>
      </c>
      <c r="K26" s="61" t="str">
        <f>IF(OR(K$9&gt;($C26+5),(K$9-$C26)&lt;0),"",_xlfn.XLOOKUP(K$9-$C25,GrowthForecast!$D$18:$I$18,GrowthForecast!$D$19:$I$19))</f>
        <v/>
      </c>
      <c r="L26" s="61" t="str">
        <f>IF(OR(L$9&gt;($C26+5),(L$9-$C26)&lt;0),"",_xlfn.XLOOKUP(L$9-$C25,GrowthForecast!$D$18:$I$18,GrowthForecast!$D$19:$I$19))</f>
        <v/>
      </c>
      <c r="M26" s="61" t="str">
        <f>IF(OR(M$9&gt;($C26+5),(M$9-$C26)&lt;0),"",_xlfn.XLOOKUP(M$9-$C25,GrowthForecast!$D$18:$I$18,GrowthForecast!$D$19:$I$19))</f>
        <v/>
      </c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</row>
    <row r="27" spans="3:27" hidden="1" outlineLevel="1" x14ac:dyDescent="0.35">
      <c r="C27" s="57">
        <f t="shared" si="2"/>
        <v>12</v>
      </c>
      <c r="D27" s="61" t="str">
        <f>IF(OR(D$9&gt;($C27+5),(D$9-$C27)&lt;0),"",_xlfn.XLOOKUP(D$9-$C26,GrowthForecast!$D$18:$I$18,GrowthForecast!$D$19:$I$19))</f>
        <v/>
      </c>
      <c r="E27" s="61" t="str">
        <f>IF(OR(E$9&gt;($C27+5),(E$9-$C27)&lt;0),"",_xlfn.XLOOKUP(E$9-$C26,GrowthForecast!$D$18:$I$18,GrowthForecast!$D$19:$I$19))</f>
        <v/>
      </c>
      <c r="F27" s="61" t="str">
        <f>IF(OR(F$9&gt;($C27+5),(F$9-$C27)&lt;0),"",_xlfn.XLOOKUP(F$9-$C26,GrowthForecast!$D$18:$I$18,GrowthForecast!$D$19:$I$19))</f>
        <v/>
      </c>
      <c r="G27" s="61" t="str">
        <f>IF(OR(G$9&gt;($C27+5),(G$9-$C27)&lt;0),"",_xlfn.XLOOKUP(G$9-$C26,GrowthForecast!$D$18:$I$18,GrowthForecast!$D$19:$I$19))</f>
        <v/>
      </c>
      <c r="H27" s="61" t="str">
        <f>IF(OR(H$9&gt;($C27+5),(H$9-$C27)&lt;0),"",_xlfn.XLOOKUP(H$9-$C26,GrowthForecast!$D$18:$I$18,GrowthForecast!$D$19:$I$19))</f>
        <v/>
      </c>
      <c r="I27" s="61" t="str">
        <f>IF(OR(I$9&gt;($C27+5),(I$9-$C27)&lt;0),"",_xlfn.XLOOKUP(I$9-$C26,GrowthForecast!$D$18:$I$18,GrowthForecast!$D$19:$I$19))</f>
        <v/>
      </c>
      <c r="J27" s="61" t="str">
        <f>IF(OR(J$9&gt;($C27+5),(J$9-$C27)&lt;0),"",_xlfn.XLOOKUP(J$9-$C26,GrowthForecast!$D$18:$I$18,GrowthForecast!$D$19:$I$19))</f>
        <v/>
      </c>
      <c r="K27" s="61" t="str">
        <f>IF(OR(K$9&gt;($C27+5),(K$9-$C27)&lt;0),"",_xlfn.XLOOKUP(K$9-$C26,GrowthForecast!$D$18:$I$18,GrowthForecast!$D$19:$I$19))</f>
        <v/>
      </c>
      <c r="L27" s="61" t="str">
        <f>IF(OR(L$9&gt;($C27+5),(L$9-$C27)&lt;0),"",_xlfn.XLOOKUP(L$9-$C26,GrowthForecast!$D$18:$I$18,GrowthForecast!$D$19:$I$19))</f>
        <v/>
      </c>
      <c r="M27" s="61" t="str">
        <f>IF(OR(M$9&gt;($C27+5),(M$9-$C27)&lt;0),"",_xlfn.XLOOKUP(M$9-$C26,GrowthForecast!$D$18:$I$18,GrowthForecast!$D$19:$I$19))</f>
        <v/>
      </c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</row>
    <row r="28" spans="3:27" hidden="1" outlineLevel="1" x14ac:dyDescent="0.35">
      <c r="C28" s="57">
        <f t="shared" si="2"/>
        <v>13</v>
      </c>
      <c r="D28" s="61" t="str">
        <f>IF(OR(D$9&gt;($C28+5),(D$9-$C28)&lt;0),"",_xlfn.XLOOKUP(D$9-$C27,GrowthForecast!$D$18:$I$18,GrowthForecast!$D$19:$I$19))</f>
        <v/>
      </c>
      <c r="E28" s="61" t="str">
        <f>IF(OR(E$9&gt;($C28+5),(E$9-$C28)&lt;0),"",_xlfn.XLOOKUP(E$9-$C27,GrowthForecast!$D$18:$I$18,GrowthForecast!$D$19:$I$19))</f>
        <v/>
      </c>
      <c r="F28" s="61" t="str">
        <f>IF(OR(F$9&gt;($C28+5),(F$9-$C28)&lt;0),"",_xlfn.XLOOKUP(F$9-$C27,GrowthForecast!$D$18:$I$18,GrowthForecast!$D$19:$I$19))</f>
        <v/>
      </c>
      <c r="G28" s="61" t="str">
        <f>IF(OR(G$9&gt;($C28+5),(G$9-$C28)&lt;0),"",_xlfn.XLOOKUP(G$9-$C27,GrowthForecast!$D$18:$I$18,GrowthForecast!$D$19:$I$19))</f>
        <v/>
      </c>
      <c r="H28" s="61" t="str">
        <f>IF(OR(H$9&gt;($C28+5),(H$9-$C28)&lt;0),"",_xlfn.XLOOKUP(H$9-$C27,GrowthForecast!$D$18:$I$18,GrowthForecast!$D$19:$I$19))</f>
        <v/>
      </c>
      <c r="I28" s="61" t="str">
        <f>IF(OR(I$9&gt;($C28+5),(I$9-$C28)&lt;0),"",_xlfn.XLOOKUP(I$9-$C27,GrowthForecast!$D$18:$I$18,GrowthForecast!$D$19:$I$19))</f>
        <v/>
      </c>
      <c r="J28" s="61" t="str">
        <f>IF(OR(J$9&gt;($C28+5),(J$9-$C28)&lt;0),"",_xlfn.XLOOKUP(J$9-$C27,GrowthForecast!$D$18:$I$18,GrowthForecast!$D$19:$I$19))</f>
        <v/>
      </c>
      <c r="K28" s="61" t="str">
        <f>IF(OR(K$9&gt;($C28+5),(K$9-$C28)&lt;0),"",_xlfn.XLOOKUP(K$9-$C27,GrowthForecast!$D$18:$I$18,GrowthForecast!$D$19:$I$19))</f>
        <v/>
      </c>
      <c r="L28" s="61" t="str">
        <f>IF(OR(L$9&gt;($C28+5),(L$9-$C28)&lt;0),"",_xlfn.XLOOKUP(L$9-$C27,GrowthForecast!$D$18:$I$18,GrowthForecast!$D$19:$I$19))</f>
        <v/>
      </c>
      <c r="M28" s="61" t="str">
        <f>IF(OR(M$9&gt;($C28+5),(M$9-$C28)&lt;0),"",_xlfn.XLOOKUP(M$9-$C27,GrowthForecast!$D$18:$I$18,GrowthForecast!$D$19:$I$19))</f>
        <v/>
      </c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</row>
    <row r="29" spans="3:27" hidden="1" outlineLevel="1" x14ac:dyDescent="0.35">
      <c r="C29" s="57">
        <f t="shared" si="2"/>
        <v>14</v>
      </c>
      <c r="D29" s="61" t="str">
        <f>IF(OR(D$9&gt;($C29+5),(D$9-$C29)&lt;0),"",_xlfn.XLOOKUP(D$9-$C28,GrowthForecast!$D$18:$I$18,GrowthForecast!$D$19:$I$19))</f>
        <v/>
      </c>
      <c r="E29" s="61" t="str">
        <f>IF(OR(E$9&gt;($C29+5),(E$9-$C29)&lt;0),"",_xlfn.XLOOKUP(E$9-$C28,GrowthForecast!$D$18:$I$18,GrowthForecast!$D$19:$I$19))</f>
        <v/>
      </c>
      <c r="F29" s="61" t="str">
        <f>IF(OR(F$9&gt;($C29+5),(F$9-$C29)&lt;0),"",_xlfn.XLOOKUP(F$9-$C28,GrowthForecast!$D$18:$I$18,GrowthForecast!$D$19:$I$19))</f>
        <v/>
      </c>
      <c r="G29" s="61" t="str">
        <f>IF(OR(G$9&gt;($C29+5),(G$9-$C29)&lt;0),"",_xlfn.XLOOKUP(G$9-$C28,GrowthForecast!$D$18:$I$18,GrowthForecast!$D$19:$I$19))</f>
        <v/>
      </c>
      <c r="H29" s="61" t="str">
        <f>IF(OR(H$9&gt;($C29+5),(H$9-$C29)&lt;0),"",_xlfn.XLOOKUP(H$9-$C28,GrowthForecast!$D$18:$I$18,GrowthForecast!$D$19:$I$19))</f>
        <v/>
      </c>
      <c r="I29" s="61" t="str">
        <f>IF(OR(I$9&gt;($C29+5),(I$9-$C29)&lt;0),"",_xlfn.XLOOKUP(I$9-$C28,GrowthForecast!$D$18:$I$18,GrowthForecast!$D$19:$I$19))</f>
        <v/>
      </c>
      <c r="J29" s="61" t="str">
        <f>IF(OR(J$9&gt;($C29+5),(J$9-$C29)&lt;0),"",_xlfn.XLOOKUP(J$9-$C28,GrowthForecast!$D$18:$I$18,GrowthForecast!$D$19:$I$19))</f>
        <v/>
      </c>
      <c r="K29" s="61" t="str">
        <f>IF(OR(K$9&gt;($C29+5),(K$9-$C29)&lt;0),"",_xlfn.XLOOKUP(K$9-$C28,GrowthForecast!$D$18:$I$18,GrowthForecast!$D$19:$I$19))</f>
        <v/>
      </c>
      <c r="L29" s="61" t="str">
        <f>IF(OR(L$9&gt;($C29+5),(L$9-$C29)&lt;0),"",_xlfn.XLOOKUP(L$9-$C28,GrowthForecast!$D$18:$I$18,GrowthForecast!$D$19:$I$19))</f>
        <v/>
      </c>
      <c r="M29" s="61" t="str">
        <f>IF(OR(M$9&gt;($C29+5),(M$9-$C29)&lt;0),"",_xlfn.XLOOKUP(M$9-$C28,GrowthForecast!$D$18:$I$18,GrowthForecast!$D$19:$I$19))</f>
        <v/>
      </c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</row>
    <row r="30" spans="3:27" hidden="1" outlineLevel="1" x14ac:dyDescent="0.35">
      <c r="C30" s="57">
        <f t="shared" si="2"/>
        <v>15</v>
      </c>
      <c r="D30" s="61" t="str">
        <f>IF(OR(D$9&gt;($C30+5),(D$9-$C30)&lt;0),"",_xlfn.XLOOKUP(D$9-$C29,GrowthForecast!$D$18:$I$18,GrowthForecast!$D$19:$I$19))</f>
        <v/>
      </c>
      <c r="E30" s="61" t="str">
        <f>IF(OR(E$9&gt;($C30+5),(E$9-$C30)&lt;0),"",_xlfn.XLOOKUP(E$9-$C29,GrowthForecast!$D$18:$I$18,GrowthForecast!$D$19:$I$19))</f>
        <v/>
      </c>
      <c r="F30" s="61" t="str">
        <f>IF(OR(F$9&gt;($C30+5),(F$9-$C30)&lt;0),"",_xlfn.XLOOKUP(F$9-$C29,GrowthForecast!$D$18:$I$18,GrowthForecast!$D$19:$I$19))</f>
        <v/>
      </c>
      <c r="G30" s="61" t="str">
        <f>IF(OR(G$9&gt;($C30+5),(G$9-$C30)&lt;0),"",_xlfn.XLOOKUP(G$9-$C29,GrowthForecast!$D$18:$I$18,GrowthForecast!$D$19:$I$19))</f>
        <v/>
      </c>
      <c r="H30" s="61" t="str">
        <f>IF(OR(H$9&gt;($C30+5),(H$9-$C30)&lt;0),"",_xlfn.XLOOKUP(H$9-$C29,GrowthForecast!$D$18:$I$18,GrowthForecast!$D$19:$I$19))</f>
        <v/>
      </c>
      <c r="I30" s="61" t="str">
        <f>IF(OR(I$9&gt;($C30+5),(I$9-$C30)&lt;0),"",_xlfn.XLOOKUP(I$9-$C29,GrowthForecast!$D$18:$I$18,GrowthForecast!$D$19:$I$19))</f>
        <v/>
      </c>
      <c r="J30" s="61" t="str">
        <f>IF(OR(J$9&gt;($C30+5),(J$9-$C30)&lt;0),"",_xlfn.XLOOKUP(J$9-$C29,GrowthForecast!$D$18:$I$18,GrowthForecast!$D$19:$I$19))</f>
        <v/>
      </c>
      <c r="K30" s="61" t="str">
        <f>IF(OR(K$9&gt;($C30+5),(K$9-$C30)&lt;0),"",_xlfn.XLOOKUP(K$9-$C29,GrowthForecast!$D$18:$I$18,GrowthForecast!$D$19:$I$19))</f>
        <v/>
      </c>
      <c r="L30" s="61" t="str">
        <f>IF(OR(L$9&gt;($C30+5),(L$9-$C30)&lt;0),"",_xlfn.XLOOKUP(L$9-$C29,GrowthForecast!$D$18:$I$18,GrowthForecast!$D$19:$I$19))</f>
        <v/>
      </c>
      <c r="M30" s="61" t="str">
        <f>IF(OR(M$9&gt;($C30+5),(M$9-$C30)&lt;0),"",_xlfn.XLOOKUP(M$9-$C29,GrowthForecast!$D$18:$I$18,GrowthForecast!$D$19:$I$19))</f>
        <v/>
      </c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</row>
    <row r="31" spans="3:27" hidden="1" outlineLevel="1" x14ac:dyDescent="0.35">
      <c r="C31" s="57">
        <f t="shared" si="2"/>
        <v>16</v>
      </c>
      <c r="D31" s="61" t="str">
        <f>IF(OR(D$9&gt;($C31+5),(D$9-$C31)&lt;0),"",_xlfn.XLOOKUP(D$9-$C30,GrowthForecast!$D$18:$I$18,GrowthForecast!$D$19:$I$19))</f>
        <v/>
      </c>
      <c r="E31" s="61" t="str">
        <f>IF(OR(E$9&gt;($C31+5),(E$9-$C31)&lt;0),"",_xlfn.XLOOKUP(E$9-$C30,GrowthForecast!$D$18:$I$18,GrowthForecast!$D$19:$I$19))</f>
        <v/>
      </c>
      <c r="F31" s="61" t="str">
        <f>IF(OR(F$9&gt;($C31+5),(F$9-$C31)&lt;0),"",_xlfn.XLOOKUP(F$9-$C30,GrowthForecast!$D$18:$I$18,GrowthForecast!$D$19:$I$19))</f>
        <v/>
      </c>
      <c r="G31" s="61" t="str">
        <f>IF(OR(G$9&gt;($C31+5),(G$9-$C31)&lt;0),"",_xlfn.XLOOKUP(G$9-$C30,GrowthForecast!$D$18:$I$18,GrowthForecast!$D$19:$I$19))</f>
        <v/>
      </c>
      <c r="H31" s="61" t="str">
        <f>IF(OR(H$9&gt;($C31+5),(H$9-$C31)&lt;0),"",_xlfn.XLOOKUP(H$9-$C30,GrowthForecast!$D$18:$I$18,GrowthForecast!$D$19:$I$19))</f>
        <v/>
      </c>
      <c r="I31" s="61" t="str">
        <f>IF(OR(I$9&gt;($C31+5),(I$9-$C31)&lt;0),"",_xlfn.XLOOKUP(I$9-$C30,GrowthForecast!$D$18:$I$18,GrowthForecast!$D$19:$I$19))</f>
        <v/>
      </c>
      <c r="J31" s="61" t="str">
        <f>IF(OR(J$9&gt;($C31+5),(J$9-$C31)&lt;0),"",_xlfn.XLOOKUP(J$9-$C30,GrowthForecast!$D$18:$I$18,GrowthForecast!$D$19:$I$19))</f>
        <v/>
      </c>
      <c r="K31" s="61" t="str">
        <f>IF(OR(K$9&gt;($C31+5),(K$9-$C31)&lt;0),"",_xlfn.XLOOKUP(K$9-$C30,GrowthForecast!$D$18:$I$18,GrowthForecast!$D$19:$I$19))</f>
        <v/>
      </c>
      <c r="L31" s="61" t="str">
        <f>IF(OR(L$9&gt;($C31+5),(L$9-$C31)&lt;0),"",_xlfn.XLOOKUP(L$9-$C30,GrowthForecast!$D$18:$I$18,GrowthForecast!$D$19:$I$19))</f>
        <v/>
      </c>
      <c r="M31" s="61" t="str">
        <f>IF(OR(M$9&gt;($C31+5),(M$9-$C31)&lt;0),"",_xlfn.XLOOKUP(M$9-$C30,GrowthForecast!$D$18:$I$18,GrowthForecast!$D$19:$I$19))</f>
        <v/>
      </c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</row>
    <row r="32" spans="3:27" hidden="1" outlineLevel="1" x14ac:dyDescent="0.35">
      <c r="C32" s="57">
        <f t="shared" si="2"/>
        <v>17</v>
      </c>
      <c r="D32" s="61" t="str">
        <f>IF(OR(D$9&gt;($C32+5),(D$9-$C32)&lt;0),"",_xlfn.XLOOKUP(D$9-$C31,GrowthForecast!$D$18:$I$18,GrowthForecast!$D$19:$I$19))</f>
        <v/>
      </c>
      <c r="E32" s="61" t="str">
        <f>IF(OR(E$9&gt;($C32+5),(E$9-$C32)&lt;0),"",_xlfn.XLOOKUP(E$9-$C31,GrowthForecast!$D$18:$I$18,GrowthForecast!$D$19:$I$19))</f>
        <v/>
      </c>
      <c r="F32" s="61" t="str">
        <f>IF(OR(F$9&gt;($C32+5),(F$9-$C32)&lt;0),"",_xlfn.XLOOKUP(F$9-$C31,GrowthForecast!$D$18:$I$18,GrowthForecast!$D$19:$I$19))</f>
        <v/>
      </c>
      <c r="G32" s="61" t="str">
        <f>IF(OR(G$9&gt;($C32+5),(G$9-$C32)&lt;0),"",_xlfn.XLOOKUP(G$9-$C31,GrowthForecast!$D$18:$I$18,GrowthForecast!$D$19:$I$19))</f>
        <v/>
      </c>
      <c r="H32" s="61" t="str">
        <f>IF(OR(H$9&gt;($C32+5),(H$9-$C32)&lt;0),"",_xlfn.XLOOKUP(H$9-$C31,GrowthForecast!$D$18:$I$18,GrowthForecast!$D$19:$I$19))</f>
        <v/>
      </c>
      <c r="I32" s="61" t="str">
        <f>IF(OR(I$9&gt;($C32+5),(I$9-$C32)&lt;0),"",_xlfn.XLOOKUP(I$9-$C31,GrowthForecast!$D$18:$I$18,GrowthForecast!$D$19:$I$19))</f>
        <v/>
      </c>
      <c r="J32" s="61" t="str">
        <f>IF(OR(J$9&gt;($C32+5),(J$9-$C32)&lt;0),"",_xlfn.XLOOKUP(J$9-$C31,GrowthForecast!$D$18:$I$18,GrowthForecast!$D$19:$I$19))</f>
        <v/>
      </c>
      <c r="K32" s="61" t="str">
        <f>IF(OR(K$9&gt;($C32+5),(K$9-$C32)&lt;0),"",_xlfn.XLOOKUP(K$9-$C31,GrowthForecast!$D$18:$I$18,GrowthForecast!$D$19:$I$19))</f>
        <v/>
      </c>
      <c r="L32" s="61" t="str">
        <f>IF(OR(L$9&gt;($C32+5),(L$9-$C32)&lt;0),"",_xlfn.XLOOKUP(L$9-$C31,GrowthForecast!$D$18:$I$18,GrowthForecast!$D$19:$I$19))</f>
        <v/>
      </c>
      <c r="M32" s="61" t="str">
        <f>IF(OR(M$9&gt;($C32+5),(M$9-$C32)&lt;0),"",_xlfn.XLOOKUP(M$9-$C31,GrowthForecast!$D$18:$I$18,GrowthForecast!$D$19:$I$19))</f>
        <v/>
      </c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</row>
    <row r="33" spans="3:27" hidden="1" outlineLevel="1" x14ac:dyDescent="0.35">
      <c r="C33" s="57">
        <f t="shared" si="2"/>
        <v>18</v>
      </c>
      <c r="D33" s="61" t="str">
        <f>IF(OR(D$9&gt;($C33+5),(D$9-$C33)&lt;0),"",_xlfn.XLOOKUP(D$9-$C32,GrowthForecast!$D$18:$I$18,GrowthForecast!$D$19:$I$19))</f>
        <v/>
      </c>
      <c r="E33" s="61" t="str">
        <f>IF(OR(E$9&gt;($C33+5),(E$9-$C33)&lt;0),"",_xlfn.XLOOKUP(E$9-$C32,GrowthForecast!$D$18:$I$18,GrowthForecast!$D$19:$I$19))</f>
        <v/>
      </c>
      <c r="F33" s="61" t="str">
        <f>IF(OR(F$9&gt;($C33+5),(F$9-$C33)&lt;0),"",_xlfn.XLOOKUP(F$9-$C32,GrowthForecast!$D$18:$I$18,GrowthForecast!$D$19:$I$19))</f>
        <v/>
      </c>
      <c r="G33" s="61" t="str">
        <f>IF(OR(G$9&gt;($C33+5),(G$9-$C33)&lt;0),"",_xlfn.XLOOKUP(G$9-$C32,GrowthForecast!$D$18:$I$18,GrowthForecast!$D$19:$I$19))</f>
        <v/>
      </c>
      <c r="H33" s="61" t="str">
        <f>IF(OR(H$9&gt;($C33+5),(H$9-$C33)&lt;0),"",_xlfn.XLOOKUP(H$9-$C32,GrowthForecast!$D$18:$I$18,GrowthForecast!$D$19:$I$19))</f>
        <v/>
      </c>
      <c r="I33" s="61" t="str">
        <f>IF(OR(I$9&gt;($C33+5),(I$9-$C33)&lt;0),"",_xlfn.XLOOKUP(I$9-$C32,GrowthForecast!$D$18:$I$18,GrowthForecast!$D$19:$I$19))</f>
        <v/>
      </c>
      <c r="J33" s="61" t="str">
        <f>IF(OR(J$9&gt;($C33+5),(J$9-$C33)&lt;0),"",_xlfn.XLOOKUP(J$9-$C32,GrowthForecast!$D$18:$I$18,GrowthForecast!$D$19:$I$19))</f>
        <v/>
      </c>
      <c r="K33" s="61" t="str">
        <f>IF(OR(K$9&gt;($C33+5),(K$9-$C33)&lt;0),"",_xlfn.XLOOKUP(K$9-$C32,GrowthForecast!$D$18:$I$18,GrowthForecast!$D$19:$I$19))</f>
        <v/>
      </c>
      <c r="L33" s="61" t="str">
        <f>IF(OR(L$9&gt;($C33+5),(L$9-$C33)&lt;0),"",_xlfn.XLOOKUP(L$9-$C32,GrowthForecast!$D$18:$I$18,GrowthForecast!$D$19:$I$19))</f>
        <v/>
      </c>
      <c r="M33" s="61" t="str">
        <f>IF(OR(M$9&gt;($C33+5),(M$9-$C33)&lt;0),"",_xlfn.XLOOKUP(M$9-$C32,GrowthForecast!$D$18:$I$18,GrowthForecast!$D$19:$I$19))</f>
        <v/>
      </c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</row>
    <row r="34" spans="3:27" hidden="1" outlineLevel="1" x14ac:dyDescent="0.35">
      <c r="C34" s="57">
        <f t="shared" si="2"/>
        <v>19</v>
      </c>
      <c r="D34" s="61" t="str">
        <f>IF(OR(D$9&gt;($C34+5),(D$9-$C34)&lt;0),"",_xlfn.XLOOKUP(D$9-$C33,GrowthForecast!$D$18:$I$18,GrowthForecast!$D$19:$I$19))</f>
        <v/>
      </c>
      <c r="E34" s="61" t="str">
        <f>IF(OR(E$9&gt;($C34+5),(E$9-$C34)&lt;0),"",_xlfn.XLOOKUP(E$9-$C33,GrowthForecast!$D$18:$I$18,GrowthForecast!$D$19:$I$19))</f>
        <v/>
      </c>
      <c r="F34" s="61" t="str">
        <f>IF(OR(F$9&gt;($C34+5),(F$9-$C34)&lt;0),"",_xlfn.XLOOKUP(F$9-$C33,GrowthForecast!$D$18:$I$18,GrowthForecast!$D$19:$I$19))</f>
        <v/>
      </c>
      <c r="G34" s="61" t="str">
        <f>IF(OR(G$9&gt;($C34+5),(G$9-$C34)&lt;0),"",_xlfn.XLOOKUP(G$9-$C33,GrowthForecast!$D$18:$I$18,GrowthForecast!$D$19:$I$19))</f>
        <v/>
      </c>
      <c r="H34" s="61" t="str">
        <f>IF(OR(H$9&gt;($C34+5),(H$9-$C34)&lt;0),"",_xlfn.XLOOKUP(H$9-$C33,GrowthForecast!$D$18:$I$18,GrowthForecast!$D$19:$I$19))</f>
        <v/>
      </c>
      <c r="I34" s="61" t="str">
        <f>IF(OR(I$9&gt;($C34+5),(I$9-$C34)&lt;0),"",_xlfn.XLOOKUP(I$9-$C33,GrowthForecast!$D$18:$I$18,GrowthForecast!$D$19:$I$19))</f>
        <v/>
      </c>
      <c r="J34" s="61" t="str">
        <f>IF(OR(J$9&gt;($C34+5),(J$9-$C34)&lt;0),"",_xlfn.XLOOKUP(J$9-$C33,GrowthForecast!$D$18:$I$18,GrowthForecast!$D$19:$I$19))</f>
        <v/>
      </c>
      <c r="K34" s="61" t="str">
        <f>IF(OR(K$9&gt;($C34+5),(K$9-$C34)&lt;0),"",_xlfn.XLOOKUP(K$9-$C33,GrowthForecast!$D$18:$I$18,GrowthForecast!$D$19:$I$19))</f>
        <v/>
      </c>
      <c r="L34" s="61" t="str">
        <f>IF(OR(L$9&gt;($C34+5),(L$9-$C34)&lt;0),"",_xlfn.XLOOKUP(L$9-$C33,GrowthForecast!$D$18:$I$18,GrowthForecast!$D$19:$I$19))</f>
        <v/>
      </c>
      <c r="M34" s="61" t="str">
        <f>IF(OR(M$9&gt;($C34+5),(M$9-$C34)&lt;0),"",_xlfn.XLOOKUP(M$9-$C33,GrowthForecast!$D$18:$I$18,GrowthForecast!$D$19:$I$19))</f>
        <v/>
      </c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</row>
    <row r="35" spans="3:27" hidden="1" outlineLevel="1" x14ac:dyDescent="0.35">
      <c r="C35" s="57">
        <f t="shared" si="2"/>
        <v>20</v>
      </c>
      <c r="D35" s="61" t="str">
        <f>IF(OR(D$9&gt;($C35+5),(D$9-$C35)&lt;0),"",_xlfn.XLOOKUP(D$9-$C34,GrowthForecast!$D$18:$I$18,GrowthForecast!$D$19:$I$19))</f>
        <v/>
      </c>
      <c r="E35" s="61" t="str">
        <f>IF(OR(E$9&gt;($C35+5),(E$9-$C35)&lt;0),"",_xlfn.XLOOKUP(E$9-$C34,GrowthForecast!$D$18:$I$18,GrowthForecast!$D$19:$I$19))</f>
        <v/>
      </c>
      <c r="F35" s="61" t="str">
        <f>IF(OR(F$9&gt;($C35+5),(F$9-$C35)&lt;0),"",_xlfn.XLOOKUP(F$9-$C34,GrowthForecast!$D$18:$I$18,GrowthForecast!$D$19:$I$19))</f>
        <v/>
      </c>
      <c r="G35" s="61" t="str">
        <f>IF(OR(G$9&gt;($C35+5),(G$9-$C35)&lt;0),"",_xlfn.XLOOKUP(G$9-$C34,GrowthForecast!$D$18:$I$18,GrowthForecast!$D$19:$I$19))</f>
        <v/>
      </c>
      <c r="H35" s="61" t="str">
        <f>IF(OR(H$9&gt;($C35+5),(H$9-$C35)&lt;0),"",_xlfn.XLOOKUP(H$9-$C34,GrowthForecast!$D$18:$I$18,GrowthForecast!$D$19:$I$19))</f>
        <v/>
      </c>
      <c r="I35" s="61" t="str">
        <f>IF(OR(I$9&gt;($C35+5),(I$9-$C35)&lt;0),"",_xlfn.XLOOKUP(I$9-$C34,GrowthForecast!$D$18:$I$18,GrowthForecast!$D$19:$I$19))</f>
        <v/>
      </c>
      <c r="J35" s="61" t="str">
        <f>IF(OR(J$9&gt;($C35+5),(J$9-$C35)&lt;0),"",_xlfn.XLOOKUP(J$9-$C34,GrowthForecast!$D$18:$I$18,GrowthForecast!$D$19:$I$19))</f>
        <v/>
      </c>
      <c r="K35" s="61" t="str">
        <f>IF(OR(K$9&gt;($C35+5),(K$9-$C35)&lt;0),"",_xlfn.XLOOKUP(K$9-$C34,GrowthForecast!$D$18:$I$18,GrowthForecast!$D$19:$I$19))</f>
        <v/>
      </c>
      <c r="L35" s="61" t="str">
        <f>IF(OR(L$9&gt;($C35+5),(L$9-$C35)&lt;0),"",_xlfn.XLOOKUP(L$9-$C34,GrowthForecast!$D$18:$I$18,GrowthForecast!$D$19:$I$19))</f>
        <v/>
      </c>
      <c r="M35" s="61" t="str">
        <f>IF(OR(M$9&gt;($C35+5),(M$9-$C35)&lt;0),"",_xlfn.XLOOKUP(M$9-$C34,GrowthForecast!$D$18:$I$18,GrowthForecast!$D$19:$I$19))</f>
        <v/>
      </c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</row>
    <row r="36" spans="3:27" hidden="1" outlineLevel="1" x14ac:dyDescent="0.35">
      <c r="C36" s="57">
        <f t="shared" si="2"/>
        <v>21</v>
      </c>
      <c r="D36" s="61" t="str">
        <f>IF(OR(D$9&gt;($C36+5),(D$9-$C36)&lt;0),"",_xlfn.XLOOKUP(D$9-$C35,GrowthForecast!$D$18:$I$18,GrowthForecast!$D$19:$I$19))</f>
        <v/>
      </c>
      <c r="E36" s="61" t="str">
        <f>IF(OR(E$9&gt;($C36+5),(E$9-$C36)&lt;0),"",_xlfn.XLOOKUP(E$9-$C35,GrowthForecast!$D$18:$I$18,GrowthForecast!$D$19:$I$19))</f>
        <v/>
      </c>
      <c r="F36" s="61" t="str">
        <f>IF(OR(F$9&gt;($C36+5),(F$9-$C36)&lt;0),"",_xlfn.XLOOKUP(F$9-$C35,GrowthForecast!$D$18:$I$18,GrowthForecast!$D$19:$I$19))</f>
        <v/>
      </c>
      <c r="G36" s="61" t="str">
        <f>IF(OR(G$9&gt;($C36+5),(G$9-$C36)&lt;0),"",_xlfn.XLOOKUP(G$9-$C35,GrowthForecast!$D$18:$I$18,GrowthForecast!$D$19:$I$19))</f>
        <v/>
      </c>
      <c r="H36" s="61" t="str">
        <f>IF(OR(H$9&gt;($C36+5),(H$9-$C36)&lt;0),"",_xlfn.XLOOKUP(H$9-$C35,GrowthForecast!$D$18:$I$18,GrowthForecast!$D$19:$I$19))</f>
        <v/>
      </c>
      <c r="I36" s="61" t="str">
        <f>IF(OR(I$9&gt;($C36+5),(I$9-$C36)&lt;0),"",_xlfn.XLOOKUP(I$9-$C35,GrowthForecast!$D$18:$I$18,GrowthForecast!$D$19:$I$19))</f>
        <v/>
      </c>
      <c r="J36" s="61" t="str">
        <f>IF(OR(J$9&gt;($C36+5),(J$9-$C36)&lt;0),"",_xlfn.XLOOKUP(J$9-$C35,GrowthForecast!$D$18:$I$18,GrowthForecast!$D$19:$I$19))</f>
        <v/>
      </c>
      <c r="K36" s="61" t="str">
        <f>IF(OR(K$9&gt;($C36+5),(K$9-$C36)&lt;0),"",_xlfn.XLOOKUP(K$9-$C35,GrowthForecast!$D$18:$I$18,GrowthForecast!$D$19:$I$19))</f>
        <v/>
      </c>
      <c r="L36" s="61" t="str">
        <f>IF(OR(L$9&gt;($C36+5),(L$9-$C36)&lt;0),"",_xlfn.XLOOKUP(L$9-$C35,GrowthForecast!$D$18:$I$18,GrowthForecast!$D$19:$I$19))</f>
        <v/>
      </c>
      <c r="M36" s="61" t="str">
        <f>IF(OR(M$9&gt;($C36+5),(M$9-$C36)&lt;0),"",_xlfn.XLOOKUP(M$9-$C35,GrowthForecast!$D$18:$I$18,GrowthForecast!$D$19:$I$19))</f>
        <v/>
      </c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</row>
    <row r="37" spans="3:27" hidden="1" outlineLevel="1" x14ac:dyDescent="0.35">
      <c r="C37" s="57">
        <f t="shared" si="2"/>
        <v>22</v>
      </c>
      <c r="D37" s="61" t="str">
        <f>IF(OR(D$9&gt;($C37+5),(D$9-$C37)&lt;0),"",_xlfn.XLOOKUP(D$9-$C36,GrowthForecast!$D$18:$I$18,GrowthForecast!$D$19:$I$19))</f>
        <v/>
      </c>
      <c r="E37" s="61" t="str">
        <f>IF(OR(E$9&gt;($C37+5),(E$9-$C37)&lt;0),"",_xlfn.XLOOKUP(E$9-$C36,GrowthForecast!$D$18:$I$18,GrowthForecast!$D$19:$I$19))</f>
        <v/>
      </c>
      <c r="F37" s="61" t="str">
        <f>IF(OR(F$9&gt;($C37+5),(F$9-$C37)&lt;0),"",_xlfn.XLOOKUP(F$9-$C36,GrowthForecast!$D$18:$I$18,GrowthForecast!$D$19:$I$19))</f>
        <v/>
      </c>
      <c r="G37" s="61" t="str">
        <f>IF(OR(G$9&gt;($C37+5),(G$9-$C37)&lt;0),"",_xlfn.XLOOKUP(G$9-$C36,GrowthForecast!$D$18:$I$18,GrowthForecast!$D$19:$I$19))</f>
        <v/>
      </c>
      <c r="H37" s="61" t="str">
        <f>IF(OR(H$9&gt;($C37+5),(H$9-$C37)&lt;0),"",_xlfn.XLOOKUP(H$9-$C36,GrowthForecast!$D$18:$I$18,GrowthForecast!$D$19:$I$19))</f>
        <v/>
      </c>
      <c r="I37" s="61" t="str">
        <f>IF(OR(I$9&gt;($C37+5),(I$9-$C37)&lt;0),"",_xlfn.XLOOKUP(I$9-$C36,GrowthForecast!$D$18:$I$18,GrowthForecast!$D$19:$I$19))</f>
        <v/>
      </c>
      <c r="J37" s="61" t="str">
        <f>IF(OR(J$9&gt;($C37+5),(J$9-$C37)&lt;0),"",_xlfn.XLOOKUP(J$9-$C36,GrowthForecast!$D$18:$I$18,GrowthForecast!$D$19:$I$19))</f>
        <v/>
      </c>
      <c r="K37" s="61" t="str">
        <f>IF(OR(K$9&gt;($C37+5),(K$9-$C37)&lt;0),"",_xlfn.XLOOKUP(K$9-$C36,GrowthForecast!$D$18:$I$18,GrowthForecast!$D$19:$I$19))</f>
        <v/>
      </c>
      <c r="L37" s="61" t="str">
        <f>IF(OR(L$9&gt;($C37+5),(L$9-$C37)&lt;0),"",_xlfn.XLOOKUP(L$9-$C36,GrowthForecast!$D$18:$I$18,GrowthForecast!$D$19:$I$19))</f>
        <v/>
      </c>
      <c r="M37" s="61" t="str">
        <f>IF(OR(M$9&gt;($C37+5),(M$9-$C37)&lt;0),"",_xlfn.XLOOKUP(M$9-$C36,GrowthForecast!$D$18:$I$18,GrowthForecast!$D$19:$I$19))</f>
        <v/>
      </c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</row>
    <row r="38" spans="3:27" hidden="1" outlineLevel="1" x14ac:dyDescent="0.35">
      <c r="C38" s="57">
        <f t="shared" si="2"/>
        <v>23</v>
      </c>
      <c r="D38" s="61" t="str">
        <f>IF(OR(D$9&gt;($C38+5),(D$9-$C38)&lt;0),"",_xlfn.XLOOKUP(D$9-$C37,GrowthForecast!$D$18:$I$18,GrowthForecast!$D$19:$I$19))</f>
        <v/>
      </c>
      <c r="E38" s="61" t="str">
        <f>IF(OR(E$9&gt;($C38+5),(E$9-$C38)&lt;0),"",_xlfn.XLOOKUP(E$9-$C37,GrowthForecast!$D$18:$I$18,GrowthForecast!$D$19:$I$19))</f>
        <v/>
      </c>
      <c r="F38" s="61" t="str">
        <f>IF(OR(F$9&gt;($C38+5),(F$9-$C38)&lt;0),"",_xlfn.XLOOKUP(F$9-$C37,GrowthForecast!$D$18:$I$18,GrowthForecast!$D$19:$I$19))</f>
        <v/>
      </c>
      <c r="G38" s="61" t="str">
        <f>IF(OR(G$9&gt;($C38+5),(G$9-$C38)&lt;0),"",_xlfn.XLOOKUP(G$9-$C37,GrowthForecast!$D$18:$I$18,GrowthForecast!$D$19:$I$19))</f>
        <v/>
      </c>
      <c r="H38" s="61" t="str">
        <f>IF(OR(H$9&gt;($C38+5),(H$9-$C38)&lt;0),"",_xlfn.XLOOKUP(H$9-$C37,GrowthForecast!$D$18:$I$18,GrowthForecast!$D$19:$I$19))</f>
        <v/>
      </c>
      <c r="I38" s="61" t="str">
        <f>IF(OR(I$9&gt;($C38+5),(I$9-$C38)&lt;0),"",_xlfn.XLOOKUP(I$9-$C37,GrowthForecast!$D$18:$I$18,GrowthForecast!$D$19:$I$19))</f>
        <v/>
      </c>
      <c r="J38" s="61" t="str">
        <f>IF(OR(J$9&gt;($C38+5),(J$9-$C38)&lt;0),"",_xlfn.XLOOKUP(J$9-$C37,GrowthForecast!$D$18:$I$18,GrowthForecast!$D$19:$I$19))</f>
        <v/>
      </c>
      <c r="K38" s="61" t="str">
        <f>IF(OR(K$9&gt;($C38+5),(K$9-$C38)&lt;0),"",_xlfn.XLOOKUP(K$9-$C37,GrowthForecast!$D$18:$I$18,GrowthForecast!$D$19:$I$19))</f>
        <v/>
      </c>
      <c r="L38" s="61" t="str">
        <f>IF(OR(L$9&gt;($C38+5),(L$9-$C38)&lt;0),"",_xlfn.XLOOKUP(L$9-$C37,GrowthForecast!$D$18:$I$18,GrowthForecast!$D$19:$I$19))</f>
        <v/>
      </c>
      <c r="M38" s="61" t="str">
        <f>IF(OR(M$9&gt;($C38+5),(M$9-$C38)&lt;0),"",_xlfn.XLOOKUP(M$9-$C37,GrowthForecast!$D$18:$I$18,GrowthForecast!$D$19:$I$19))</f>
        <v/>
      </c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</row>
    <row r="39" spans="3:27" hidden="1" outlineLevel="1" x14ac:dyDescent="0.35">
      <c r="C39" s="57">
        <f t="shared" si="2"/>
        <v>24</v>
      </c>
      <c r="D39" s="61" t="str">
        <f>IF(OR(D$9&gt;($C39+5),(D$9-$C39)&lt;0),"",_xlfn.XLOOKUP(D$9-$C38,GrowthForecast!$D$18:$I$18,GrowthForecast!$D$19:$I$19))</f>
        <v/>
      </c>
      <c r="E39" s="61" t="str">
        <f>IF(OR(E$9&gt;($C39+5),(E$9-$C39)&lt;0),"",_xlfn.XLOOKUP(E$9-$C38,GrowthForecast!$D$18:$I$18,GrowthForecast!$D$19:$I$19))</f>
        <v/>
      </c>
      <c r="F39" s="61" t="str">
        <f>IF(OR(F$9&gt;($C39+5),(F$9-$C39)&lt;0),"",_xlfn.XLOOKUP(F$9-$C38,GrowthForecast!$D$18:$I$18,GrowthForecast!$D$19:$I$19))</f>
        <v/>
      </c>
      <c r="G39" s="61" t="str">
        <f>IF(OR(G$9&gt;($C39+5),(G$9-$C39)&lt;0),"",_xlfn.XLOOKUP(G$9-$C38,GrowthForecast!$D$18:$I$18,GrowthForecast!$D$19:$I$19))</f>
        <v/>
      </c>
      <c r="H39" s="61" t="str">
        <f>IF(OR(H$9&gt;($C39+5),(H$9-$C39)&lt;0),"",_xlfn.XLOOKUP(H$9-$C38,GrowthForecast!$D$18:$I$18,GrowthForecast!$D$19:$I$19))</f>
        <v/>
      </c>
      <c r="I39" s="61" t="str">
        <f>IF(OR(I$9&gt;($C39+5),(I$9-$C39)&lt;0),"",_xlfn.XLOOKUP(I$9-$C38,GrowthForecast!$D$18:$I$18,GrowthForecast!$D$19:$I$19))</f>
        <v/>
      </c>
      <c r="J39" s="61" t="str">
        <f>IF(OR(J$9&gt;($C39+5),(J$9-$C39)&lt;0),"",_xlfn.XLOOKUP(J$9-$C38,GrowthForecast!$D$18:$I$18,GrowthForecast!$D$19:$I$19))</f>
        <v/>
      </c>
      <c r="K39" s="61" t="str">
        <f>IF(OR(K$9&gt;($C39+5),(K$9-$C39)&lt;0),"",_xlfn.XLOOKUP(K$9-$C38,GrowthForecast!$D$18:$I$18,GrowthForecast!$D$19:$I$19))</f>
        <v/>
      </c>
      <c r="L39" s="61" t="str">
        <f>IF(OR(L$9&gt;($C39+5),(L$9-$C39)&lt;0),"",_xlfn.XLOOKUP(L$9-$C38,GrowthForecast!$D$18:$I$18,GrowthForecast!$D$19:$I$19))</f>
        <v/>
      </c>
      <c r="M39" s="61" t="str">
        <f>IF(OR(M$9&gt;($C39+5),(M$9-$C39)&lt;0),"",_xlfn.XLOOKUP(M$9-$C38,GrowthForecast!$D$18:$I$18,GrowthForecast!$D$19:$I$19))</f>
        <v/>
      </c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</row>
    <row r="40" spans="3:27" hidden="1" outlineLevel="1" x14ac:dyDescent="0.35">
      <c r="C40" s="57"/>
    </row>
    <row r="41" spans="3:27" hidden="1" outlineLevel="1" x14ac:dyDescent="0.35">
      <c r="C41" s="57"/>
    </row>
    <row r="42" spans="3:27" hidden="1" outlineLevel="1" x14ac:dyDescent="0.35">
      <c r="C42" s="57"/>
    </row>
    <row r="43" spans="3:27" hidden="1" outlineLevel="1" x14ac:dyDescent="0.35">
      <c r="C43" s="57"/>
    </row>
    <row r="44" spans="3:27" ht="15.5" hidden="1" outlineLevel="1" x14ac:dyDescent="0.35">
      <c r="C44" s="60" t="s">
        <v>81</v>
      </c>
    </row>
    <row r="45" spans="3:27" hidden="1" outlineLevel="1" x14ac:dyDescent="0.35">
      <c r="C45" s="57">
        <v>1</v>
      </c>
      <c r="D45" s="62">
        <f t="shared" ref="D45:M45" si="3">IFERROR(IF(D$9&lt;($C45+6),HLOOKUP($C45,$D$9:$AA$11,3,FALSE)*D16,C45),"")</f>
        <v>2972.6666666666674</v>
      </c>
      <c r="E45" s="62">
        <f t="shared" si="3"/>
        <v>1327.0833333333335</v>
      </c>
      <c r="F45" s="62">
        <f t="shared" si="3"/>
        <v>1327.0833333333335</v>
      </c>
      <c r="G45" s="62">
        <f t="shared" si="3"/>
        <v>1220.916666666667</v>
      </c>
      <c r="H45" s="62">
        <f t="shared" si="3"/>
        <v>583.91666666666674</v>
      </c>
      <c r="I45" s="62">
        <f t="shared" si="3"/>
        <v>583.91666666666674</v>
      </c>
      <c r="J45" s="62">
        <f t="shared" si="3"/>
        <v>583.91666666666674</v>
      </c>
      <c r="K45" s="62">
        <f t="shared" si="3"/>
        <v>583.91666666666674</v>
      </c>
      <c r="L45" s="62">
        <f t="shared" si="3"/>
        <v>583.91666666666674</v>
      </c>
      <c r="M45" s="62">
        <f t="shared" si="3"/>
        <v>583.91666666666674</v>
      </c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</row>
    <row r="46" spans="3:27" hidden="1" outlineLevel="1" x14ac:dyDescent="0.35">
      <c r="C46" s="57">
        <f>C45+1</f>
        <v>2</v>
      </c>
      <c r="D46" s="62" t="str">
        <f t="shared" ref="D46:M46" si="4">IFERROR(IF(D$9&lt;($C46+6),HLOOKUP($C46,$D$9:$AA$11,3,FALSE)*D17,C46),"")</f>
        <v/>
      </c>
      <c r="E46" s="62">
        <f t="shared" si="4"/>
        <v>4573.3333333333339</v>
      </c>
      <c r="F46" s="62">
        <f t="shared" si="4"/>
        <v>2041.6666666666667</v>
      </c>
      <c r="G46" s="62">
        <f t="shared" si="4"/>
        <v>2041.6666666666667</v>
      </c>
      <c r="H46" s="62">
        <f t="shared" si="4"/>
        <v>1878.3333333333335</v>
      </c>
      <c r="I46" s="62">
        <f t="shared" si="4"/>
        <v>898.33333333333337</v>
      </c>
      <c r="J46" s="62">
        <f t="shared" si="4"/>
        <v>898.33333333333337</v>
      </c>
      <c r="K46" s="62">
        <f t="shared" si="4"/>
        <v>898.33333333333337</v>
      </c>
      <c r="L46" s="62">
        <f t="shared" si="4"/>
        <v>898.33333333333337</v>
      </c>
      <c r="M46" s="62">
        <f t="shared" si="4"/>
        <v>898.33333333333337</v>
      </c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</row>
    <row r="47" spans="3:27" hidden="1" outlineLevel="1" x14ac:dyDescent="0.35">
      <c r="C47" s="57">
        <f t="shared" ref="C47:C68" si="5">C46+1</f>
        <v>3</v>
      </c>
      <c r="D47" s="62" t="str">
        <f t="shared" ref="D47:M47" si="6">IFERROR(IF(D$9&lt;($C47+6),HLOOKUP($C47,$D$9:$AA$11,3,FALSE)*D18,C47),"")</f>
        <v/>
      </c>
      <c r="E47" s="62" t="str">
        <f t="shared" si="6"/>
        <v/>
      </c>
      <c r="F47" s="62">
        <f t="shared" si="6"/>
        <v>7546.0000000000009</v>
      </c>
      <c r="G47" s="62">
        <f t="shared" si="6"/>
        <v>3368.75</v>
      </c>
      <c r="H47" s="62">
        <f t="shared" si="6"/>
        <v>3368.75</v>
      </c>
      <c r="I47" s="62">
        <f t="shared" si="6"/>
        <v>3099.25</v>
      </c>
      <c r="J47" s="62">
        <f t="shared" si="6"/>
        <v>1482.25</v>
      </c>
      <c r="K47" s="62">
        <f t="shared" si="6"/>
        <v>1482.25</v>
      </c>
      <c r="L47" s="62">
        <f t="shared" si="6"/>
        <v>1482.25</v>
      </c>
      <c r="M47" s="62">
        <f t="shared" si="6"/>
        <v>1482.25</v>
      </c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</row>
    <row r="48" spans="3:27" hidden="1" outlineLevel="1" x14ac:dyDescent="0.35">
      <c r="C48" s="57">
        <f t="shared" si="5"/>
        <v>4</v>
      </c>
      <c r="D48" s="62" t="str">
        <f t="shared" ref="D48:M48" si="7">IFERROR(IF(D$9&lt;($C48+6),HLOOKUP($C48,$D$9:$AA$11,3,FALSE)*D19,C48),"")</f>
        <v/>
      </c>
      <c r="E48" s="62" t="str">
        <f t="shared" si="7"/>
        <v/>
      </c>
      <c r="F48" s="62" t="str">
        <f t="shared" si="7"/>
        <v/>
      </c>
      <c r="G48" s="62">
        <f t="shared" si="7"/>
        <v>12073.6</v>
      </c>
      <c r="H48" s="62">
        <f t="shared" si="7"/>
        <v>5390</v>
      </c>
      <c r="I48" s="62">
        <f t="shared" si="7"/>
        <v>5390</v>
      </c>
      <c r="J48" s="62">
        <f t="shared" si="7"/>
        <v>4958.8</v>
      </c>
      <c r="K48" s="62">
        <f t="shared" si="7"/>
        <v>2371.6</v>
      </c>
      <c r="L48" s="62">
        <f t="shared" si="7"/>
        <v>2371.6</v>
      </c>
      <c r="M48" s="62">
        <f t="shared" si="7"/>
        <v>2371.6</v>
      </c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</row>
    <row r="49" spans="3:27" hidden="1" outlineLevel="1" x14ac:dyDescent="0.35">
      <c r="C49" s="57">
        <f t="shared" si="5"/>
        <v>5</v>
      </c>
      <c r="D49" s="62" t="str">
        <f t="shared" ref="D49:M49" si="8">IFERROR(IF(D$9&lt;($C49+6),HLOOKUP($C49,$D$9:$AA$11,3,FALSE)*D20,C49),"")</f>
        <v/>
      </c>
      <c r="E49" s="62" t="str">
        <f t="shared" si="8"/>
        <v/>
      </c>
      <c r="F49" s="62" t="str">
        <f t="shared" si="8"/>
        <v/>
      </c>
      <c r="G49" s="62" t="str">
        <f t="shared" si="8"/>
        <v/>
      </c>
      <c r="H49" s="62">
        <f t="shared" si="8"/>
        <v>19317.760000000002</v>
      </c>
      <c r="I49" s="62">
        <f t="shared" si="8"/>
        <v>8624</v>
      </c>
      <c r="J49" s="62">
        <f t="shared" si="8"/>
        <v>8624</v>
      </c>
      <c r="K49" s="62">
        <f t="shared" si="8"/>
        <v>7934.08</v>
      </c>
      <c r="L49" s="62">
        <f t="shared" si="8"/>
        <v>3794.56</v>
      </c>
      <c r="M49" s="62">
        <f t="shared" si="8"/>
        <v>3794.56</v>
      </c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</row>
    <row r="50" spans="3:27" hidden="1" outlineLevel="1" x14ac:dyDescent="0.35">
      <c r="C50" s="57">
        <f t="shared" si="5"/>
        <v>6</v>
      </c>
      <c r="D50" s="62" t="str">
        <f t="shared" ref="D50:M50" si="9">IFERROR(IF(D$9&lt;($C50+6),HLOOKUP($C50,$D$9:$AA$11,3,FALSE)*D21,C50),"")</f>
        <v/>
      </c>
      <c r="E50" s="62" t="str">
        <f t="shared" si="9"/>
        <v/>
      </c>
      <c r="F50" s="62" t="str">
        <f t="shared" si="9"/>
        <v/>
      </c>
      <c r="G50" s="62" t="str">
        <f t="shared" si="9"/>
        <v/>
      </c>
      <c r="H50" s="62" t="str">
        <f t="shared" si="9"/>
        <v/>
      </c>
      <c r="I50" s="62">
        <f t="shared" si="9"/>
        <v>30908.416000000001</v>
      </c>
      <c r="J50" s="62">
        <f t="shared" si="9"/>
        <v>13798.4</v>
      </c>
      <c r="K50" s="62">
        <f t="shared" si="9"/>
        <v>13798.4</v>
      </c>
      <c r="L50" s="62">
        <f t="shared" si="9"/>
        <v>12694.528</v>
      </c>
      <c r="M50" s="62">
        <f t="shared" si="9"/>
        <v>6071.2960000000003</v>
      </c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</row>
    <row r="51" spans="3:27" hidden="1" outlineLevel="1" x14ac:dyDescent="0.35">
      <c r="C51" s="57">
        <f t="shared" si="5"/>
        <v>7</v>
      </c>
      <c r="D51" s="62" t="str">
        <f t="shared" ref="D51:M51" si="10">IFERROR(IF(D$9&lt;($C51+6),HLOOKUP($C51,$D$9:$AA$11,3,FALSE)*D22,C51),"")</f>
        <v/>
      </c>
      <c r="E51" s="62" t="str">
        <f t="shared" si="10"/>
        <v/>
      </c>
      <c r="F51" s="62" t="str">
        <f t="shared" si="10"/>
        <v/>
      </c>
      <c r="G51" s="62" t="str">
        <f t="shared" si="10"/>
        <v/>
      </c>
      <c r="H51" s="62" t="str">
        <f t="shared" si="10"/>
        <v/>
      </c>
      <c r="I51" s="62" t="str">
        <f t="shared" si="10"/>
        <v/>
      </c>
      <c r="J51" s="62">
        <f t="shared" si="10"/>
        <v>49453.465600000003</v>
      </c>
      <c r="K51" s="62">
        <f t="shared" si="10"/>
        <v>22077.439999999999</v>
      </c>
      <c r="L51" s="62">
        <f t="shared" si="10"/>
        <v>22077.439999999999</v>
      </c>
      <c r="M51" s="62">
        <f t="shared" si="10"/>
        <v>20311.2448</v>
      </c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</row>
    <row r="52" spans="3:27" hidden="1" outlineLevel="1" x14ac:dyDescent="0.35">
      <c r="C52" s="57">
        <f t="shared" si="5"/>
        <v>8</v>
      </c>
      <c r="D52" s="62" t="str">
        <f t="shared" ref="D52:M52" si="11">IFERROR(IF(D$9&lt;($C52+6),HLOOKUP($C52,$D$9:$AA$11,3,FALSE)*D23,C52),"")</f>
        <v/>
      </c>
      <c r="E52" s="62" t="str">
        <f t="shared" si="11"/>
        <v/>
      </c>
      <c r="F52" s="62" t="str">
        <f t="shared" si="11"/>
        <v/>
      </c>
      <c r="G52" s="62" t="str">
        <f t="shared" si="11"/>
        <v/>
      </c>
      <c r="H52" s="62" t="str">
        <f t="shared" si="11"/>
        <v/>
      </c>
      <c r="I52" s="62" t="str">
        <f t="shared" si="11"/>
        <v/>
      </c>
      <c r="J52" s="62" t="str">
        <f t="shared" si="11"/>
        <v/>
      </c>
      <c r="K52" s="62">
        <f t="shared" si="11"/>
        <v>79125.544960000014</v>
      </c>
      <c r="L52" s="62">
        <f t="shared" si="11"/>
        <v>35323.904000000002</v>
      </c>
      <c r="M52" s="62">
        <f t="shared" si="11"/>
        <v>35323.904000000002</v>
      </c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</row>
    <row r="53" spans="3:27" hidden="1" outlineLevel="1" x14ac:dyDescent="0.35">
      <c r="C53" s="57">
        <f t="shared" si="5"/>
        <v>9</v>
      </c>
      <c r="D53" s="62" t="str">
        <f t="shared" ref="D53:M53" si="12">IFERROR(IF(D$9&lt;($C53+6),HLOOKUP($C53,$D$9:$AA$11,3,FALSE)*D24,C53),"")</f>
        <v/>
      </c>
      <c r="E53" s="62" t="str">
        <f t="shared" si="12"/>
        <v/>
      </c>
      <c r="F53" s="62" t="str">
        <f t="shared" si="12"/>
        <v/>
      </c>
      <c r="G53" s="62" t="str">
        <f t="shared" si="12"/>
        <v/>
      </c>
      <c r="H53" s="62" t="str">
        <f t="shared" si="12"/>
        <v/>
      </c>
      <c r="I53" s="62" t="str">
        <f t="shared" si="12"/>
        <v/>
      </c>
      <c r="J53" s="62" t="str">
        <f t="shared" si="12"/>
        <v/>
      </c>
      <c r="K53" s="62" t="str">
        <f t="shared" si="12"/>
        <v/>
      </c>
      <c r="L53" s="62">
        <f t="shared" si="12"/>
        <v>126600.87193600003</v>
      </c>
      <c r="M53" s="62">
        <f t="shared" si="12"/>
        <v>56518.246400000004</v>
      </c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</row>
    <row r="54" spans="3:27" hidden="1" outlineLevel="1" x14ac:dyDescent="0.35">
      <c r="C54" s="57">
        <f t="shared" si="5"/>
        <v>10</v>
      </c>
      <c r="D54" s="62" t="str">
        <f t="shared" ref="D54:M54" si="13">IFERROR(IF(D$9&lt;($C54+6),HLOOKUP($C54,$D$9:$AA$11,3,FALSE)*D25,C54),"")</f>
        <v/>
      </c>
      <c r="E54" s="62" t="str">
        <f t="shared" si="13"/>
        <v/>
      </c>
      <c r="F54" s="62" t="str">
        <f t="shared" si="13"/>
        <v/>
      </c>
      <c r="G54" s="62" t="str">
        <f t="shared" si="13"/>
        <v/>
      </c>
      <c r="H54" s="62" t="str">
        <f t="shared" si="13"/>
        <v/>
      </c>
      <c r="I54" s="62" t="str">
        <f t="shared" si="13"/>
        <v/>
      </c>
      <c r="J54" s="62" t="str">
        <f t="shared" si="13"/>
        <v/>
      </c>
      <c r="K54" s="62" t="str">
        <f t="shared" si="13"/>
        <v/>
      </c>
      <c r="L54" s="62" t="str">
        <f t="shared" si="13"/>
        <v/>
      </c>
      <c r="M54" s="62">
        <f t="shared" si="13"/>
        <v>202561.39509760009</v>
      </c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</row>
    <row r="55" spans="3:27" hidden="1" outlineLevel="1" x14ac:dyDescent="0.35">
      <c r="C55" s="57">
        <f t="shared" si="5"/>
        <v>11</v>
      </c>
      <c r="D55" s="62" t="str">
        <f t="shared" ref="D55:M55" si="14">IFERROR(IF(D$9&lt;($C55+6),HLOOKUP($C55,$D$9:$AA$11,3,FALSE)*D26,C55),"")</f>
        <v/>
      </c>
      <c r="E55" s="62" t="str">
        <f t="shared" si="14"/>
        <v/>
      </c>
      <c r="F55" s="62" t="str">
        <f t="shared" si="14"/>
        <v/>
      </c>
      <c r="G55" s="62" t="str">
        <f t="shared" si="14"/>
        <v/>
      </c>
      <c r="H55" s="62" t="str">
        <f t="shared" si="14"/>
        <v/>
      </c>
      <c r="I55" s="62" t="str">
        <f t="shared" si="14"/>
        <v/>
      </c>
      <c r="J55" s="62" t="str">
        <f t="shared" si="14"/>
        <v/>
      </c>
      <c r="K55" s="62" t="str">
        <f t="shared" si="14"/>
        <v/>
      </c>
      <c r="L55" s="62" t="str">
        <f t="shared" si="14"/>
        <v/>
      </c>
      <c r="M55" s="62" t="str">
        <f t="shared" si="14"/>
        <v/>
      </c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</row>
    <row r="56" spans="3:27" hidden="1" outlineLevel="1" x14ac:dyDescent="0.35">
      <c r="C56" s="57">
        <f t="shared" si="5"/>
        <v>12</v>
      </c>
      <c r="D56" s="62" t="str">
        <f t="shared" ref="D56:M56" si="15">IFERROR(IF(D$9&lt;($C56+6),HLOOKUP($C56,$D$9:$AA$11,3,FALSE)*D27,C56),"")</f>
        <v/>
      </c>
      <c r="E56" s="62" t="str">
        <f t="shared" si="15"/>
        <v/>
      </c>
      <c r="F56" s="62" t="str">
        <f t="shared" si="15"/>
        <v/>
      </c>
      <c r="G56" s="62" t="str">
        <f t="shared" si="15"/>
        <v/>
      </c>
      <c r="H56" s="62" t="str">
        <f t="shared" si="15"/>
        <v/>
      </c>
      <c r="I56" s="62" t="str">
        <f t="shared" si="15"/>
        <v/>
      </c>
      <c r="J56" s="62" t="str">
        <f t="shared" si="15"/>
        <v/>
      </c>
      <c r="K56" s="62" t="str">
        <f t="shared" si="15"/>
        <v/>
      </c>
      <c r="L56" s="62" t="str">
        <f t="shared" si="15"/>
        <v/>
      </c>
      <c r="M56" s="62" t="str">
        <f t="shared" si="15"/>
        <v/>
      </c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</row>
    <row r="57" spans="3:27" hidden="1" outlineLevel="1" x14ac:dyDescent="0.35">
      <c r="C57" s="57">
        <f t="shared" si="5"/>
        <v>13</v>
      </c>
      <c r="D57" s="62" t="str">
        <f t="shared" ref="D57:M57" si="16">IFERROR(IF(D$9&lt;($C57+6),HLOOKUP($C57,$D$9:$AA$11,3,FALSE)*D28,C57),"")</f>
        <v/>
      </c>
      <c r="E57" s="62" t="str">
        <f t="shared" si="16"/>
        <v/>
      </c>
      <c r="F57" s="62" t="str">
        <f t="shared" si="16"/>
        <v/>
      </c>
      <c r="G57" s="62" t="str">
        <f t="shared" si="16"/>
        <v/>
      </c>
      <c r="H57" s="62" t="str">
        <f t="shared" si="16"/>
        <v/>
      </c>
      <c r="I57" s="62" t="str">
        <f t="shared" si="16"/>
        <v/>
      </c>
      <c r="J57" s="62" t="str">
        <f t="shared" si="16"/>
        <v/>
      </c>
      <c r="K57" s="62" t="str">
        <f t="shared" si="16"/>
        <v/>
      </c>
      <c r="L57" s="62" t="str">
        <f t="shared" si="16"/>
        <v/>
      </c>
      <c r="M57" s="62" t="str">
        <f t="shared" si="16"/>
        <v/>
      </c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</row>
    <row r="58" spans="3:27" hidden="1" outlineLevel="1" x14ac:dyDescent="0.35">
      <c r="C58" s="57">
        <f t="shared" si="5"/>
        <v>14</v>
      </c>
      <c r="D58" s="62" t="str">
        <f t="shared" ref="D58:M58" si="17">IFERROR(IF(D$9&lt;($C58+6),HLOOKUP($C58,$D$9:$AA$11,3,FALSE)*D29,C58),"")</f>
        <v/>
      </c>
      <c r="E58" s="62" t="str">
        <f t="shared" si="17"/>
        <v/>
      </c>
      <c r="F58" s="62" t="str">
        <f t="shared" si="17"/>
        <v/>
      </c>
      <c r="G58" s="62" t="str">
        <f t="shared" si="17"/>
        <v/>
      </c>
      <c r="H58" s="62" t="str">
        <f t="shared" si="17"/>
        <v/>
      </c>
      <c r="I58" s="62" t="str">
        <f t="shared" si="17"/>
        <v/>
      </c>
      <c r="J58" s="62" t="str">
        <f t="shared" si="17"/>
        <v/>
      </c>
      <c r="K58" s="62" t="str">
        <f t="shared" si="17"/>
        <v/>
      </c>
      <c r="L58" s="62" t="str">
        <f t="shared" si="17"/>
        <v/>
      </c>
      <c r="M58" s="62" t="str">
        <f t="shared" si="17"/>
        <v/>
      </c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</row>
    <row r="59" spans="3:27" hidden="1" outlineLevel="1" x14ac:dyDescent="0.35">
      <c r="C59" s="57">
        <f t="shared" si="5"/>
        <v>15</v>
      </c>
      <c r="D59" s="62" t="str">
        <f t="shared" ref="D59:M59" si="18">IFERROR(IF(D$9&lt;($C59+6),HLOOKUP($C59,$D$9:$AA$11,3,FALSE)*D30,C59),"")</f>
        <v/>
      </c>
      <c r="E59" s="62" t="str">
        <f t="shared" si="18"/>
        <v/>
      </c>
      <c r="F59" s="62" t="str">
        <f t="shared" si="18"/>
        <v/>
      </c>
      <c r="G59" s="62" t="str">
        <f t="shared" si="18"/>
        <v/>
      </c>
      <c r="H59" s="62" t="str">
        <f t="shared" si="18"/>
        <v/>
      </c>
      <c r="I59" s="62" t="str">
        <f t="shared" si="18"/>
        <v/>
      </c>
      <c r="J59" s="62" t="str">
        <f t="shared" si="18"/>
        <v/>
      </c>
      <c r="K59" s="62" t="str">
        <f t="shared" si="18"/>
        <v/>
      </c>
      <c r="L59" s="62" t="str">
        <f t="shared" si="18"/>
        <v/>
      </c>
      <c r="M59" s="62" t="str">
        <f t="shared" si="18"/>
        <v/>
      </c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</row>
    <row r="60" spans="3:27" hidden="1" outlineLevel="1" x14ac:dyDescent="0.35">
      <c r="C60" s="57">
        <f t="shared" si="5"/>
        <v>16</v>
      </c>
      <c r="D60" s="62" t="str">
        <f t="shared" ref="D60:M60" si="19">IFERROR(IF(D$9&lt;($C60+6),HLOOKUP($C60,$D$9:$AA$11,3,FALSE)*D31,C60),"")</f>
        <v/>
      </c>
      <c r="E60" s="62" t="str">
        <f t="shared" si="19"/>
        <v/>
      </c>
      <c r="F60" s="62" t="str">
        <f t="shared" si="19"/>
        <v/>
      </c>
      <c r="G60" s="62" t="str">
        <f t="shared" si="19"/>
        <v/>
      </c>
      <c r="H60" s="62" t="str">
        <f t="shared" si="19"/>
        <v/>
      </c>
      <c r="I60" s="62" t="str">
        <f t="shared" si="19"/>
        <v/>
      </c>
      <c r="J60" s="62" t="str">
        <f t="shared" si="19"/>
        <v/>
      </c>
      <c r="K60" s="62" t="str">
        <f t="shared" si="19"/>
        <v/>
      </c>
      <c r="L60" s="62" t="str">
        <f t="shared" si="19"/>
        <v/>
      </c>
      <c r="M60" s="62" t="str">
        <f t="shared" si="19"/>
        <v/>
      </c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</row>
    <row r="61" spans="3:27" hidden="1" outlineLevel="1" x14ac:dyDescent="0.35">
      <c r="C61" s="57">
        <f t="shared" si="5"/>
        <v>17</v>
      </c>
      <c r="D61" s="62" t="str">
        <f t="shared" ref="D61:M61" si="20">IFERROR(IF(D$9&lt;($C61+6),HLOOKUP($C61,$D$9:$AA$11,3,FALSE)*D32,C61),"")</f>
        <v/>
      </c>
      <c r="E61" s="62" t="str">
        <f t="shared" si="20"/>
        <v/>
      </c>
      <c r="F61" s="62" t="str">
        <f t="shared" si="20"/>
        <v/>
      </c>
      <c r="G61" s="62" t="str">
        <f t="shared" si="20"/>
        <v/>
      </c>
      <c r="H61" s="62" t="str">
        <f t="shared" si="20"/>
        <v/>
      </c>
      <c r="I61" s="62" t="str">
        <f t="shared" si="20"/>
        <v/>
      </c>
      <c r="J61" s="62" t="str">
        <f t="shared" si="20"/>
        <v/>
      </c>
      <c r="K61" s="62" t="str">
        <f t="shared" si="20"/>
        <v/>
      </c>
      <c r="L61" s="62" t="str">
        <f t="shared" si="20"/>
        <v/>
      </c>
      <c r="M61" s="62" t="str">
        <f t="shared" si="20"/>
        <v/>
      </c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</row>
    <row r="62" spans="3:27" hidden="1" outlineLevel="1" x14ac:dyDescent="0.35">
      <c r="C62" s="57">
        <f t="shared" si="5"/>
        <v>18</v>
      </c>
      <c r="D62" s="62" t="str">
        <f t="shared" ref="D62:M62" si="21">IFERROR(IF(D$9&lt;($C62+6),HLOOKUP($C62,$D$9:$AA$11,3,FALSE)*D33,C62),"")</f>
        <v/>
      </c>
      <c r="E62" s="62" t="str">
        <f t="shared" si="21"/>
        <v/>
      </c>
      <c r="F62" s="62" t="str">
        <f t="shared" si="21"/>
        <v/>
      </c>
      <c r="G62" s="62" t="str">
        <f t="shared" si="21"/>
        <v/>
      </c>
      <c r="H62" s="62" t="str">
        <f t="shared" si="21"/>
        <v/>
      </c>
      <c r="I62" s="62" t="str">
        <f t="shared" si="21"/>
        <v/>
      </c>
      <c r="J62" s="62" t="str">
        <f t="shared" si="21"/>
        <v/>
      </c>
      <c r="K62" s="62" t="str">
        <f t="shared" si="21"/>
        <v/>
      </c>
      <c r="L62" s="62" t="str">
        <f t="shared" si="21"/>
        <v/>
      </c>
      <c r="M62" s="62" t="str">
        <f t="shared" si="21"/>
        <v/>
      </c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</row>
    <row r="63" spans="3:27" hidden="1" outlineLevel="1" x14ac:dyDescent="0.35">
      <c r="C63" s="57">
        <f t="shared" si="5"/>
        <v>19</v>
      </c>
      <c r="D63" s="62" t="str">
        <f t="shared" ref="D63:M63" si="22">IFERROR(IF(D$9&lt;($C63+6),HLOOKUP($C63,$D$9:$AA$11,3,FALSE)*D34,C63),"")</f>
        <v/>
      </c>
      <c r="E63" s="62" t="str">
        <f t="shared" si="22"/>
        <v/>
      </c>
      <c r="F63" s="62" t="str">
        <f t="shared" si="22"/>
        <v/>
      </c>
      <c r="G63" s="62" t="str">
        <f t="shared" si="22"/>
        <v/>
      </c>
      <c r="H63" s="62" t="str">
        <f t="shared" si="22"/>
        <v/>
      </c>
      <c r="I63" s="62" t="str">
        <f t="shared" si="22"/>
        <v/>
      </c>
      <c r="J63" s="62" t="str">
        <f t="shared" si="22"/>
        <v/>
      </c>
      <c r="K63" s="62" t="str">
        <f t="shared" si="22"/>
        <v/>
      </c>
      <c r="L63" s="62" t="str">
        <f t="shared" si="22"/>
        <v/>
      </c>
      <c r="M63" s="62" t="str">
        <f t="shared" si="22"/>
        <v/>
      </c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</row>
    <row r="64" spans="3:27" hidden="1" outlineLevel="1" x14ac:dyDescent="0.35">
      <c r="C64" s="57">
        <f t="shared" si="5"/>
        <v>20</v>
      </c>
      <c r="D64" s="62" t="str">
        <f t="shared" ref="D64:M64" si="23">IFERROR(IF(D$9&lt;($C64+6),HLOOKUP($C64,$D$9:$AA$11,3,FALSE)*D35,C64),"")</f>
        <v/>
      </c>
      <c r="E64" s="62" t="str">
        <f t="shared" si="23"/>
        <v/>
      </c>
      <c r="F64" s="62" t="str">
        <f t="shared" si="23"/>
        <v/>
      </c>
      <c r="G64" s="62" t="str">
        <f t="shared" si="23"/>
        <v/>
      </c>
      <c r="H64" s="62" t="str">
        <f t="shared" si="23"/>
        <v/>
      </c>
      <c r="I64" s="62" t="str">
        <f t="shared" si="23"/>
        <v/>
      </c>
      <c r="J64" s="62" t="str">
        <f t="shared" si="23"/>
        <v/>
      </c>
      <c r="K64" s="62" t="str">
        <f t="shared" si="23"/>
        <v/>
      </c>
      <c r="L64" s="62" t="str">
        <f t="shared" si="23"/>
        <v/>
      </c>
      <c r="M64" s="62" t="str">
        <f t="shared" si="23"/>
        <v/>
      </c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</row>
    <row r="65" spans="3:27" hidden="1" outlineLevel="1" x14ac:dyDescent="0.35">
      <c r="C65" s="57">
        <f t="shared" si="5"/>
        <v>21</v>
      </c>
      <c r="D65" s="62" t="str">
        <f t="shared" ref="D65:M65" si="24">IFERROR(IF(D$9&lt;($C65+6),HLOOKUP($C65,$D$9:$AA$11,3,FALSE)*D36,C65),"")</f>
        <v/>
      </c>
      <c r="E65" s="62" t="str">
        <f t="shared" si="24"/>
        <v/>
      </c>
      <c r="F65" s="62" t="str">
        <f t="shared" si="24"/>
        <v/>
      </c>
      <c r="G65" s="62" t="str">
        <f t="shared" si="24"/>
        <v/>
      </c>
      <c r="H65" s="62" t="str">
        <f t="shared" si="24"/>
        <v/>
      </c>
      <c r="I65" s="62" t="str">
        <f t="shared" si="24"/>
        <v/>
      </c>
      <c r="J65" s="62" t="str">
        <f t="shared" si="24"/>
        <v/>
      </c>
      <c r="K65" s="62" t="str">
        <f t="shared" si="24"/>
        <v/>
      </c>
      <c r="L65" s="62" t="str">
        <f t="shared" si="24"/>
        <v/>
      </c>
      <c r="M65" s="62" t="str">
        <f t="shared" si="24"/>
        <v/>
      </c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</row>
    <row r="66" spans="3:27" hidden="1" outlineLevel="1" x14ac:dyDescent="0.35">
      <c r="C66" s="57">
        <f t="shared" si="5"/>
        <v>22</v>
      </c>
      <c r="D66" s="62" t="str">
        <f t="shared" ref="D66:M66" si="25">IFERROR(IF(D$9&lt;($C66+6),HLOOKUP($C66,$D$9:$AA$11,3,FALSE)*D37,C66),"")</f>
        <v/>
      </c>
      <c r="E66" s="62" t="str">
        <f t="shared" si="25"/>
        <v/>
      </c>
      <c r="F66" s="62" t="str">
        <f t="shared" si="25"/>
        <v/>
      </c>
      <c r="G66" s="62" t="str">
        <f t="shared" si="25"/>
        <v/>
      </c>
      <c r="H66" s="62" t="str">
        <f t="shared" si="25"/>
        <v/>
      </c>
      <c r="I66" s="62" t="str">
        <f t="shared" si="25"/>
        <v/>
      </c>
      <c r="J66" s="62" t="str">
        <f t="shared" si="25"/>
        <v/>
      </c>
      <c r="K66" s="62" t="str">
        <f t="shared" si="25"/>
        <v/>
      </c>
      <c r="L66" s="62" t="str">
        <f t="shared" si="25"/>
        <v/>
      </c>
      <c r="M66" s="62" t="str">
        <f t="shared" si="25"/>
        <v/>
      </c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</row>
    <row r="67" spans="3:27" hidden="1" outlineLevel="1" x14ac:dyDescent="0.35">
      <c r="C67" s="57">
        <f t="shared" si="5"/>
        <v>23</v>
      </c>
      <c r="D67" s="62" t="str">
        <f t="shared" ref="D67:M67" si="26">IFERROR(IF(D$9&lt;($C67+6),HLOOKUP($C67,$D$9:$AA$11,3,FALSE)*D38,C67),"")</f>
        <v/>
      </c>
      <c r="E67" s="62" t="str">
        <f t="shared" si="26"/>
        <v/>
      </c>
      <c r="F67" s="62" t="str">
        <f t="shared" si="26"/>
        <v/>
      </c>
      <c r="G67" s="62" t="str">
        <f t="shared" si="26"/>
        <v/>
      </c>
      <c r="H67" s="62" t="str">
        <f t="shared" si="26"/>
        <v/>
      </c>
      <c r="I67" s="62" t="str">
        <f t="shared" si="26"/>
        <v/>
      </c>
      <c r="J67" s="62" t="str">
        <f t="shared" si="26"/>
        <v/>
      </c>
      <c r="K67" s="62" t="str">
        <f t="shared" si="26"/>
        <v/>
      </c>
      <c r="L67" s="62" t="str">
        <f t="shared" si="26"/>
        <v/>
      </c>
      <c r="M67" s="62" t="str">
        <f t="shared" si="26"/>
        <v/>
      </c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62"/>
    </row>
    <row r="68" spans="3:27" hidden="1" outlineLevel="1" x14ac:dyDescent="0.35">
      <c r="C68" s="57">
        <f t="shared" si="5"/>
        <v>24</v>
      </c>
      <c r="D68" s="62" t="str">
        <f t="shared" ref="D68:M68" si="27">IFERROR(IF(D$9&lt;($C68+6),HLOOKUP($C68,$D$9:$AA$11,3,FALSE)*D39,C68),"")</f>
        <v/>
      </c>
      <c r="E68" s="62" t="str">
        <f t="shared" si="27"/>
        <v/>
      </c>
      <c r="F68" s="62" t="str">
        <f t="shared" si="27"/>
        <v/>
      </c>
      <c r="G68" s="62" t="str">
        <f t="shared" si="27"/>
        <v/>
      </c>
      <c r="H68" s="62" t="str">
        <f t="shared" si="27"/>
        <v/>
      </c>
      <c r="I68" s="62" t="str">
        <f t="shared" si="27"/>
        <v/>
      </c>
      <c r="J68" s="62" t="str">
        <f t="shared" si="27"/>
        <v/>
      </c>
      <c r="K68" s="62" t="str">
        <f t="shared" si="27"/>
        <v/>
      </c>
      <c r="L68" s="62" t="str">
        <f t="shared" si="27"/>
        <v/>
      </c>
      <c r="M68" s="62" t="str">
        <f t="shared" si="27"/>
        <v/>
      </c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62"/>
    </row>
    <row r="69" spans="3:27" hidden="1" outlineLevel="1" x14ac:dyDescent="0.35"/>
    <row r="70" spans="3:27" hidden="1" outlineLevel="1" x14ac:dyDescent="0.35"/>
    <row r="71" spans="3:27" hidden="1" outlineLevel="1" x14ac:dyDescent="0.35"/>
    <row r="72" spans="3:27" ht="15.5" hidden="1" outlineLevel="1" x14ac:dyDescent="0.35">
      <c r="C72" s="60" t="s">
        <v>82</v>
      </c>
    </row>
    <row r="73" spans="3:27" hidden="1" outlineLevel="1" x14ac:dyDescent="0.35">
      <c r="C73" s="57">
        <v>1</v>
      </c>
      <c r="D73" s="63" t="str">
        <f t="shared" ref="D73:M73" si="28">IF(AND(D$9&gt;($C73),D$9&lt;($C73+6)), D45-C45,"")</f>
        <v/>
      </c>
      <c r="E73" s="63">
        <f t="shared" si="28"/>
        <v>-1645.5833333333339</v>
      </c>
      <c r="F73" s="63">
        <f t="shared" si="28"/>
        <v>0</v>
      </c>
      <c r="G73" s="63">
        <f t="shared" si="28"/>
        <v>-106.16666666666652</v>
      </c>
      <c r="H73" s="63">
        <f t="shared" si="28"/>
        <v>-637.00000000000023</v>
      </c>
      <c r="I73" s="63">
        <f t="shared" si="28"/>
        <v>0</v>
      </c>
      <c r="J73" s="63" t="str">
        <f t="shared" si="28"/>
        <v/>
      </c>
      <c r="K73" s="63" t="str">
        <f t="shared" si="28"/>
        <v/>
      </c>
      <c r="L73" s="63" t="str">
        <f t="shared" si="28"/>
        <v/>
      </c>
      <c r="M73" s="63" t="str">
        <f t="shared" si="28"/>
        <v/>
      </c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</row>
    <row r="74" spans="3:27" hidden="1" outlineLevel="1" x14ac:dyDescent="0.35">
      <c r="C74" s="57">
        <f>C73+1</f>
        <v>2</v>
      </c>
      <c r="D74" s="63" t="str">
        <f t="shared" ref="D74:M74" si="29">IF(AND(D$9&gt;($C74),D$9&lt;($C74+6)), D46-C46,"")</f>
        <v/>
      </c>
      <c r="E74" s="63" t="str">
        <f t="shared" si="29"/>
        <v/>
      </c>
      <c r="F74" s="63">
        <f t="shared" si="29"/>
        <v>-2531.666666666667</v>
      </c>
      <c r="G74" s="63">
        <f t="shared" si="29"/>
        <v>0</v>
      </c>
      <c r="H74" s="63">
        <f t="shared" si="29"/>
        <v>-163.33333333333326</v>
      </c>
      <c r="I74" s="63">
        <f t="shared" si="29"/>
        <v>-980.00000000000011</v>
      </c>
      <c r="J74" s="63">
        <f t="shared" si="29"/>
        <v>0</v>
      </c>
      <c r="K74" s="63" t="str">
        <f t="shared" si="29"/>
        <v/>
      </c>
      <c r="L74" s="63" t="str">
        <f t="shared" si="29"/>
        <v/>
      </c>
      <c r="M74" s="63" t="str">
        <f t="shared" si="29"/>
        <v/>
      </c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</row>
    <row r="75" spans="3:27" hidden="1" outlineLevel="1" x14ac:dyDescent="0.35">
      <c r="C75" s="57">
        <f t="shared" ref="C75:C96" si="30">C74+1</f>
        <v>3</v>
      </c>
      <c r="D75" s="63" t="str">
        <f t="shared" ref="D75:M75" si="31">IF(AND(D$9&gt;($C75),D$9&lt;($C75+6)), D47-C47,"")</f>
        <v/>
      </c>
      <c r="E75" s="63" t="str">
        <f t="shared" si="31"/>
        <v/>
      </c>
      <c r="F75" s="63" t="str">
        <f t="shared" si="31"/>
        <v/>
      </c>
      <c r="G75" s="63">
        <f t="shared" si="31"/>
        <v>-4177.2500000000009</v>
      </c>
      <c r="H75" s="63">
        <f t="shared" si="31"/>
        <v>0</v>
      </c>
      <c r="I75" s="63">
        <f t="shared" si="31"/>
        <v>-269.5</v>
      </c>
      <c r="J75" s="63">
        <f t="shared" si="31"/>
        <v>-1617</v>
      </c>
      <c r="K75" s="63">
        <f t="shared" si="31"/>
        <v>0</v>
      </c>
      <c r="L75" s="63" t="str">
        <f t="shared" si="31"/>
        <v/>
      </c>
      <c r="M75" s="63" t="str">
        <f t="shared" si="31"/>
        <v/>
      </c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</row>
    <row r="76" spans="3:27" hidden="1" outlineLevel="1" x14ac:dyDescent="0.35">
      <c r="C76" s="57">
        <f t="shared" si="30"/>
        <v>4</v>
      </c>
      <c r="D76" s="63" t="str">
        <f t="shared" ref="D76:M76" si="32">IF(AND(D$9&gt;($C76),D$9&lt;($C76+6)), D48-C48,"")</f>
        <v/>
      </c>
      <c r="E76" s="63" t="str">
        <f t="shared" si="32"/>
        <v/>
      </c>
      <c r="F76" s="63" t="str">
        <f t="shared" si="32"/>
        <v/>
      </c>
      <c r="G76" s="63" t="str">
        <f t="shared" si="32"/>
        <v/>
      </c>
      <c r="H76" s="63">
        <f t="shared" si="32"/>
        <v>-6683.6</v>
      </c>
      <c r="I76" s="63">
        <f t="shared" si="32"/>
        <v>0</v>
      </c>
      <c r="J76" s="63">
        <f t="shared" si="32"/>
        <v>-431.19999999999982</v>
      </c>
      <c r="K76" s="63">
        <f t="shared" si="32"/>
        <v>-2587.2000000000003</v>
      </c>
      <c r="L76" s="63">
        <f t="shared" si="32"/>
        <v>0</v>
      </c>
      <c r="M76" s="63" t="str">
        <f t="shared" si="32"/>
        <v/>
      </c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</row>
    <row r="77" spans="3:27" hidden="1" outlineLevel="1" x14ac:dyDescent="0.35">
      <c r="C77" s="57">
        <f t="shared" si="30"/>
        <v>5</v>
      </c>
      <c r="D77" s="63" t="str">
        <f t="shared" ref="D77:M77" si="33">IF(AND(D$9&gt;($C77),D$9&lt;($C77+6)), D49-C49,"")</f>
        <v/>
      </c>
      <c r="E77" s="63" t="str">
        <f t="shared" si="33"/>
        <v/>
      </c>
      <c r="F77" s="63" t="str">
        <f t="shared" si="33"/>
        <v/>
      </c>
      <c r="G77" s="63" t="str">
        <f t="shared" si="33"/>
        <v/>
      </c>
      <c r="H77" s="63" t="str">
        <f t="shared" si="33"/>
        <v/>
      </c>
      <c r="I77" s="63">
        <f t="shared" si="33"/>
        <v>-10693.760000000002</v>
      </c>
      <c r="J77" s="63">
        <f t="shared" si="33"/>
        <v>0</v>
      </c>
      <c r="K77" s="63">
        <f t="shared" si="33"/>
        <v>-689.92000000000007</v>
      </c>
      <c r="L77" s="63">
        <f t="shared" si="33"/>
        <v>-4139.5200000000004</v>
      </c>
      <c r="M77" s="63">
        <f t="shared" si="33"/>
        <v>0</v>
      </c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</row>
    <row r="78" spans="3:27" hidden="1" outlineLevel="1" x14ac:dyDescent="0.35">
      <c r="C78" s="57">
        <f t="shared" si="30"/>
        <v>6</v>
      </c>
      <c r="D78" s="63" t="str">
        <f t="shared" ref="D78:M78" si="34">IF(AND(D$9&gt;($C78),D$9&lt;($C78+6)), D50-C50,"")</f>
        <v/>
      </c>
      <c r="E78" s="63" t="str">
        <f t="shared" si="34"/>
        <v/>
      </c>
      <c r="F78" s="63" t="str">
        <f t="shared" si="34"/>
        <v/>
      </c>
      <c r="G78" s="63" t="str">
        <f t="shared" si="34"/>
        <v/>
      </c>
      <c r="H78" s="63" t="str">
        <f t="shared" si="34"/>
        <v/>
      </c>
      <c r="I78" s="63" t="str">
        <f t="shared" si="34"/>
        <v/>
      </c>
      <c r="J78" s="63">
        <f t="shared" si="34"/>
        <v>-17110.016000000003</v>
      </c>
      <c r="K78" s="63">
        <f t="shared" si="34"/>
        <v>0</v>
      </c>
      <c r="L78" s="63">
        <f t="shared" si="34"/>
        <v>-1103.8719999999994</v>
      </c>
      <c r="M78" s="63">
        <f t="shared" si="34"/>
        <v>-6623.232</v>
      </c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</row>
    <row r="79" spans="3:27" hidden="1" outlineLevel="1" x14ac:dyDescent="0.35">
      <c r="C79" s="57">
        <f t="shared" si="30"/>
        <v>7</v>
      </c>
      <c r="D79" s="63" t="str">
        <f t="shared" ref="D79:M79" si="35">IF(AND(D$9&gt;($C79),D$9&lt;($C79+6)), D51-C51,"")</f>
        <v/>
      </c>
      <c r="E79" s="63" t="str">
        <f t="shared" si="35"/>
        <v/>
      </c>
      <c r="F79" s="63" t="str">
        <f t="shared" si="35"/>
        <v/>
      </c>
      <c r="G79" s="63" t="str">
        <f t="shared" si="35"/>
        <v/>
      </c>
      <c r="H79" s="63" t="str">
        <f t="shared" si="35"/>
        <v/>
      </c>
      <c r="I79" s="63" t="str">
        <f t="shared" si="35"/>
        <v/>
      </c>
      <c r="J79" s="63" t="str">
        <f t="shared" si="35"/>
        <v/>
      </c>
      <c r="K79" s="63">
        <f t="shared" si="35"/>
        <v>-27376.025600000004</v>
      </c>
      <c r="L79" s="63">
        <f t="shared" si="35"/>
        <v>0</v>
      </c>
      <c r="M79" s="63">
        <f t="shared" si="35"/>
        <v>-1766.1951999999983</v>
      </c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</row>
    <row r="80" spans="3:27" hidden="1" outlineLevel="1" x14ac:dyDescent="0.35">
      <c r="C80" s="57">
        <f t="shared" si="30"/>
        <v>8</v>
      </c>
      <c r="D80" s="63" t="str">
        <f t="shared" ref="D80:M80" si="36">IF(AND(D$9&gt;($C80),D$9&lt;($C80+6)), D52-C52,"")</f>
        <v/>
      </c>
      <c r="E80" s="63" t="str">
        <f t="shared" si="36"/>
        <v/>
      </c>
      <c r="F80" s="63" t="str">
        <f t="shared" si="36"/>
        <v/>
      </c>
      <c r="G80" s="63" t="str">
        <f t="shared" si="36"/>
        <v/>
      </c>
      <c r="H80" s="63" t="str">
        <f t="shared" si="36"/>
        <v/>
      </c>
      <c r="I80" s="63" t="str">
        <f t="shared" si="36"/>
        <v/>
      </c>
      <c r="J80" s="63" t="str">
        <f t="shared" si="36"/>
        <v/>
      </c>
      <c r="K80" s="63" t="str">
        <f t="shared" si="36"/>
        <v/>
      </c>
      <c r="L80" s="63">
        <f t="shared" si="36"/>
        <v>-43801.640960000012</v>
      </c>
      <c r="M80" s="63">
        <f t="shared" si="36"/>
        <v>0</v>
      </c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</row>
    <row r="81" spans="3:27" hidden="1" outlineLevel="1" x14ac:dyDescent="0.35">
      <c r="C81" s="57">
        <f t="shared" si="30"/>
        <v>9</v>
      </c>
      <c r="D81" s="63" t="str">
        <f t="shared" ref="D81:M81" si="37">IF(AND(D$9&gt;($C81),D$9&lt;($C81+6)), D53-C53,"")</f>
        <v/>
      </c>
      <c r="E81" s="63" t="str">
        <f t="shared" si="37"/>
        <v/>
      </c>
      <c r="F81" s="63" t="str">
        <f t="shared" si="37"/>
        <v/>
      </c>
      <c r="G81" s="63" t="str">
        <f t="shared" si="37"/>
        <v/>
      </c>
      <c r="H81" s="63" t="str">
        <f t="shared" si="37"/>
        <v/>
      </c>
      <c r="I81" s="63" t="str">
        <f t="shared" si="37"/>
        <v/>
      </c>
      <c r="J81" s="63" t="str">
        <f t="shared" si="37"/>
        <v/>
      </c>
      <c r="K81" s="63" t="str">
        <f t="shared" si="37"/>
        <v/>
      </c>
      <c r="L81" s="63" t="str">
        <f t="shared" si="37"/>
        <v/>
      </c>
      <c r="M81" s="63">
        <f t="shared" si="37"/>
        <v>-70082.625536000021</v>
      </c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</row>
    <row r="82" spans="3:27" hidden="1" outlineLevel="1" x14ac:dyDescent="0.35">
      <c r="C82" s="57">
        <f t="shared" si="30"/>
        <v>10</v>
      </c>
      <c r="D82" s="63" t="str">
        <f t="shared" ref="D82:M82" si="38">IF(AND(D$9&gt;($C82),D$9&lt;($C82+6)), D54-C54,"")</f>
        <v/>
      </c>
      <c r="E82" s="63" t="str">
        <f t="shared" si="38"/>
        <v/>
      </c>
      <c r="F82" s="63" t="str">
        <f t="shared" si="38"/>
        <v/>
      </c>
      <c r="G82" s="63" t="str">
        <f t="shared" si="38"/>
        <v/>
      </c>
      <c r="H82" s="63" t="str">
        <f t="shared" si="38"/>
        <v/>
      </c>
      <c r="I82" s="63" t="str">
        <f t="shared" si="38"/>
        <v/>
      </c>
      <c r="J82" s="63" t="str">
        <f t="shared" si="38"/>
        <v/>
      </c>
      <c r="K82" s="63" t="str">
        <f t="shared" si="38"/>
        <v/>
      </c>
      <c r="L82" s="63" t="str">
        <f t="shared" si="38"/>
        <v/>
      </c>
      <c r="M82" s="63" t="str">
        <f t="shared" si="38"/>
        <v/>
      </c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</row>
    <row r="83" spans="3:27" hidden="1" outlineLevel="1" x14ac:dyDescent="0.35">
      <c r="C83" s="57">
        <f t="shared" si="30"/>
        <v>11</v>
      </c>
      <c r="D83" s="63" t="str">
        <f t="shared" ref="D83:M83" si="39">IF(AND(D$9&gt;($C83),D$9&lt;($C83+6)), D55-C55,"")</f>
        <v/>
      </c>
      <c r="E83" s="63" t="str">
        <f t="shared" si="39"/>
        <v/>
      </c>
      <c r="F83" s="63" t="str">
        <f t="shared" si="39"/>
        <v/>
      </c>
      <c r="G83" s="63" t="str">
        <f t="shared" si="39"/>
        <v/>
      </c>
      <c r="H83" s="63" t="str">
        <f t="shared" si="39"/>
        <v/>
      </c>
      <c r="I83" s="63" t="str">
        <f t="shared" si="39"/>
        <v/>
      </c>
      <c r="J83" s="63" t="str">
        <f t="shared" si="39"/>
        <v/>
      </c>
      <c r="K83" s="63" t="str">
        <f t="shared" si="39"/>
        <v/>
      </c>
      <c r="L83" s="63" t="str">
        <f t="shared" si="39"/>
        <v/>
      </c>
      <c r="M83" s="63" t="str">
        <f t="shared" si="39"/>
        <v/>
      </c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</row>
    <row r="84" spans="3:27" hidden="1" outlineLevel="1" x14ac:dyDescent="0.35">
      <c r="C84" s="57">
        <f t="shared" si="30"/>
        <v>12</v>
      </c>
      <c r="D84" s="63" t="str">
        <f t="shared" ref="D84:M84" si="40">IF(AND(D$9&gt;($C84),D$9&lt;($C84+6)), D56-C56,"")</f>
        <v/>
      </c>
      <c r="E84" s="63" t="str">
        <f t="shared" si="40"/>
        <v/>
      </c>
      <c r="F84" s="63" t="str">
        <f t="shared" si="40"/>
        <v/>
      </c>
      <c r="G84" s="63" t="str">
        <f t="shared" si="40"/>
        <v/>
      </c>
      <c r="H84" s="63" t="str">
        <f t="shared" si="40"/>
        <v/>
      </c>
      <c r="I84" s="63" t="str">
        <f t="shared" si="40"/>
        <v/>
      </c>
      <c r="J84" s="63" t="str">
        <f t="shared" si="40"/>
        <v/>
      </c>
      <c r="K84" s="63" t="str">
        <f t="shared" si="40"/>
        <v/>
      </c>
      <c r="L84" s="63" t="str">
        <f t="shared" si="40"/>
        <v/>
      </c>
      <c r="M84" s="63" t="str">
        <f t="shared" si="40"/>
        <v/>
      </c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</row>
    <row r="85" spans="3:27" hidden="1" outlineLevel="1" x14ac:dyDescent="0.35">
      <c r="C85" s="57">
        <f t="shared" si="30"/>
        <v>13</v>
      </c>
      <c r="D85" s="63" t="str">
        <f t="shared" ref="D85:M85" si="41">IF(AND(D$9&gt;($C85),D$9&lt;($C85+6)), D57-C57,"")</f>
        <v/>
      </c>
      <c r="E85" s="63" t="str">
        <f t="shared" si="41"/>
        <v/>
      </c>
      <c r="F85" s="63" t="str">
        <f t="shared" si="41"/>
        <v/>
      </c>
      <c r="G85" s="63" t="str">
        <f t="shared" si="41"/>
        <v/>
      </c>
      <c r="H85" s="63" t="str">
        <f t="shared" si="41"/>
        <v/>
      </c>
      <c r="I85" s="63" t="str">
        <f t="shared" si="41"/>
        <v/>
      </c>
      <c r="J85" s="63" t="str">
        <f t="shared" si="41"/>
        <v/>
      </c>
      <c r="K85" s="63" t="str">
        <f t="shared" si="41"/>
        <v/>
      </c>
      <c r="L85" s="63" t="str">
        <f t="shared" si="41"/>
        <v/>
      </c>
      <c r="M85" s="63" t="str">
        <f t="shared" si="41"/>
        <v/>
      </c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</row>
    <row r="86" spans="3:27" hidden="1" outlineLevel="1" x14ac:dyDescent="0.35">
      <c r="C86" s="57">
        <f t="shared" si="30"/>
        <v>14</v>
      </c>
      <c r="D86" s="63" t="str">
        <f t="shared" ref="D86:M86" si="42">IF(AND(D$9&gt;($C86),D$9&lt;($C86+6)), D58-C58,"")</f>
        <v/>
      </c>
      <c r="E86" s="63" t="str">
        <f t="shared" si="42"/>
        <v/>
      </c>
      <c r="F86" s="63" t="str">
        <f t="shared" si="42"/>
        <v/>
      </c>
      <c r="G86" s="63" t="str">
        <f t="shared" si="42"/>
        <v/>
      </c>
      <c r="H86" s="63" t="str">
        <f t="shared" si="42"/>
        <v/>
      </c>
      <c r="I86" s="63" t="str">
        <f t="shared" si="42"/>
        <v/>
      </c>
      <c r="J86" s="63" t="str">
        <f t="shared" si="42"/>
        <v/>
      </c>
      <c r="K86" s="63" t="str">
        <f t="shared" si="42"/>
        <v/>
      </c>
      <c r="L86" s="63" t="str">
        <f t="shared" si="42"/>
        <v/>
      </c>
      <c r="M86" s="63" t="str">
        <f t="shared" si="42"/>
        <v/>
      </c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</row>
    <row r="87" spans="3:27" hidden="1" outlineLevel="1" x14ac:dyDescent="0.35">
      <c r="C87" s="57">
        <f t="shared" si="30"/>
        <v>15</v>
      </c>
      <c r="D87" s="63" t="str">
        <f t="shared" ref="D87:M87" si="43">IF(AND(D$9&gt;($C87),D$9&lt;($C87+6)), D59-C59,"")</f>
        <v/>
      </c>
      <c r="E87" s="63" t="str">
        <f t="shared" si="43"/>
        <v/>
      </c>
      <c r="F87" s="63" t="str">
        <f t="shared" si="43"/>
        <v/>
      </c>
      <c r="G87" s="63" t="str">
        <f t="shared" si="43"/>
        <v/>
      </c>
      <c r="H87" s="63" t="str">
        <f t="shared" si="43"/>
        <v/>
      </c>
      <c r="I87" s="63" t="str">
        <f t="shared" si="43"/>
        <v/>
      </c>
      <c r="J87" s="63" t="str">
        <f t="shared" si="43"/>
        <v/>
      </c>
      <c r="K87" s="63" t="str">
        <f t="shared" si="43"/>
        <v/>
      </c>
      <c r="L87" s="63" t="str">
        <f t="shared" si="43"/>
        <v/>
      </c>
      <c r="M87" s="63" t="str">
        <f t="shared" si="43"/>
        <v/>
      </c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</row>
    <row r="88" spans="3:27" hidden="1" outlineLevel="1" x14ac:dyDescent="0.35">
      <c r="C88" s="57">
        <f t="shared" si="30"/>
        <v>16</v>
      </c>
      <c r="D88" s="63" t="str">
        <f t="shared" ref="D88:M88" si="44">IF(AND(D$9&gt;($C88),D$9&lt;($C88+6)), D60-C60,"")</f>
        <v/>
      </c>
      <c r="E88" s="63" t="str">
        <f t="shared" si="44"/>
        <v/>
      </c>
      <c r="F88" s="63" t="str">
        <f t="shared" si="44"/>
        <v/>
      </c>
      <c r="G88" s="63" t="str">
        <f t="shared" si="44"/>
        <v/>
      </c>
      <c r="H88" s="63" t="str">
        <f t="shared" si="44"/>
        <v/>
      </c>
      <c r="I88" s="63" t="str">
        <f t="shared" si="44"/>
        <v/>
      </c>
      <c r="J88" s="63" t="str">
        <f t="shared" si="44"/>
        <v/>
      </c>
      <c r="K88" s="63" t="str">
        <f t="shared" si="44"/>
        <v/>
      </c>
      <c r="L88" s="63" t="str">
        <f t="shared" si="44"/>
        <v/>
      </c>
      <c r="M88" s="63" t="str">
        <f t="shared" si="44"/>
        <v/>
      </c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</row>
    <row r="89" spans="3:27" hidden="1" outlineLevel="1" x14ac:dyDescent="0.35">
      <c r="C89" s="57">
        <f t="shared" si="30"/>
        <v>17</v>
      </c>
      <c r="D89" s="63" t="str">
        <f t="shared" ref="D89:M89" si="45">IF(AND(D$9&gt;($C89),D$9&lt;($C89+6)), D61-C61,"")</f>
        <v/>
      </c>
      <c r="E89" s="63" t="str">
        <f t="shared" si="45"/>
        <v/>
      </c>
      <c r="F89" s="63" t="str">
        <f t="shared" si="45"/>
        <v/>
      </c>
      <c r="G89" s="63" t="str">
        <f t="shared" si="45"/>
        <v/>
      </c>
      <c r="H89" s="63" t="str">
        <f t="shared" si="45"/>
        <v/>
      </c>
      <c r="I89" s="63" t="str">
        <f t="shared" si="45"/>
        <v/>
      </c>
      <c r="J89" s="63" t="str">
        <f t="shared" si="45"/>
        <v/>
      </c>
      <c r="K89" s="63" t="str">
        <f t="shared" si="45"/>
        <v/>
      </c>
      <c r="L89" s="63" t="str">
        <f t="shared" si="45"/>
        <v/>
      </c>
      <c r="M89" s="63" t="str">
        <f t="shared" si="45"/>
        <v/>
      </c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</row>
    <row r="90" spans="3:27" hidden="1" outlineLevel="1" x14ac:dyDescent="0.35">
      <c r="C90" s="57">
        <f t="shared" si="30"/>
        <v>18</v>
      </c>
      <c r="D90" s="63" t="str">
        <f t="shared" ref="D90:M90" si="46">IF(AND(D$9&gt;($C90),D$9&lt;($C90+6)), D62-C62,"")</f>
        <v/>
      </c>
      <c r="E90" s="63" t="str">
        <f t="shared" si="46"/>
        <v/>
      </c>
      <c r="F90" s="63" t="str">
        <f t="shared" si="46"/>
        <v/>
      </c>
      <c r="G90" s="63" t="str">
        <f t="shared" si="46"/>
        <v/>
      </c>
      <c r="H90" s="63" t="str">
        <f t="shared" si="46"/>
        <v/>
      </c>
      <c r="I90" s="63" t="str">
        <f t="shared" si="46"/>
        <v/>
      </c>
      <c r="J90" s="63" t="str">
        <f t="shared" si="46"/>
        <v/>
      </c>
      <c r="K90" s="63" t="str">
        <f t="shared" si="46"/>
        <v/>
      </c>
      <c r="L90" s="63" t="str">
        <f t="shared" si="46"/>
        <v/>
      </c>
      <c r="M90" s="63" t="str">
        <f t="shared" si="46"/>
        <v/>
      </c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</row>
    <row r="91" spans="3:27" hidden="1" outlineLevel="1" x14ac:dyDescent="0.35">
      <c r="C91" s="57">
        <f t="shared" si="30"/>
        <v>19</v>
      </c>
      <c r="D91" s="63" t="str">
        <f t="shared" ref="D91:M91" si="47">IF(AND(D$9&gt;($C91),D$9&lt;($C91+6)), D63-C63,"")</f>
        <v/>
      </c>
      <c r="E91" s="63" t="str">
        <f t="shared" si="47"/>
        <v/>
      </c>
      <c r="F91" s="63" t="str">
        <f t="shared" si="47"/>
        <v/>
      </c>
      <c r="G91" s="63" t="str">
        <f t="shared" si="47"/>
        <v/>
      </c>
      <c r="H91" s="63" t="str">
        <f t="shared" si="47"/>
        <v/>
      </c>
      <c r="I91" s="63" t="str">
        <f t="shared" si="47"/>
        <v/>
      </c>
      <c r="J91" s="63" t="str">
        <f t="shared" si="47"/>
        <v/>
      </c>
      <c r="K91" s="63" t="str">
        <f t="shared" si="47"/>
        <v/>
      </c>
      <c r="L91" s="63" t="str">
        <f t="shared" si="47"/>
        <v/>
      </c>
      <c r="M91" s="63" t="str">
        <f t="shared" si="47"/>
        <v/>
      </c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</row>
    <row r="92" spans="3:27" hidden="1" outlineLevel="1" x14ac:dyDescent="0.35">
      <c r="C92" s="57">
        <f t="shared" si="30"/>
        <v>20</v>
      </c>
      <c r="D92" s="63" t="str">
        <f t="shared" ref="D92:M92" si="48">IF(AND(D$9&gt;($C92),D$9&lt;($C92+6)), D64-C64,"")</f>
        <v/>
      </c>
      <c r="E92" s="63" t="str">
        <f t="shared" si="48"/>
        <v/>
      </c>
      <c r="F92" s="63" t="str">
        <f t="shared" si="48"/>
        <v/>
      </c>
      <c r="G92" s="63" t="str">
        <f t="shared" si="48"/>
        <v/>
      </c>
      <c r="H92" s="63" t="str">
        <f t="shared" si="48"/>
        <v/>
      </c>
      <c r="I92" s="63" t="str">
        <f t="shared" si="48"/>
        <v/>
      </c>
      <c r="J92" s="63" t="str">
        <f t="shared" si="48"/>
        <v/>
      </c>
      <c r="K92" s="63" t="str">
        <f t="shared" si="48"/>
        <v/>
      </c>
      <c r="L92" s="63" t="str">
        <f t="shared" si="48"/>
        <v/>
      </c>
      <c r="M92" s="63" t="str">
        <f t="shared" si="48"/>
        <v/>
      </c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</row>
    <row r="93" spans="3:27" hidden="1" outlineLevel="1" x14ac:dyDescent="0.35">
      <c r="C93" s="57">
        <f t="shared" si="30"/>
        <v>21</v>
      </c>
      <c r="D93" s="63" t="str">
        <f t="shared" ref="D93:M93" si="49">IF(AND(D$9&gt;($C93),D$9&lt;($C93+6)), D65-C65,"")</f>
        <v/>
      </c>
      <c r="E93" s="63" t="str">
        <f t="shared" si="49"/>
        <v/>
      </c>
      <c r="F93" s="63" t="str">
        <f t="shared" si="49"/>
        <v/>
      </c>
      <c r="G93" s="63" t="str">
        <f t="shared" si="49"/>
        <v/>
      </c>
      <c r="H93" s="63" t="str">
        <f t="shared" si="49"/>
        <v/>
      </c>
      <c r="I93" s="63" t="str">
        <f t="shared" si="49"/>
        <v/>
      </c>
      <c r="J93" s="63" t="str">
        <f t="shared" si="49"/>
        <v/>
      </c>
      <c r="K93" s="63" t="str">
        <f t="shared" si="49"/>
        <v/>
      </c>
      <c r="L93" s="63" t="str">
        <f t="shared" si="49"/>
        <v/>
      </c>
      <c r="M93" s="63" t="str">
        <f t="shared" si="49"/>
        <v/>
      </c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</row>
    <row r="94" spans="3:27" hidden="1" outlineLevel="1" x14ac:dyDescent="0.35">
      <c r="C94" s="57">
        <f t="shared" si="30"/>
        <v>22</v>
      </c>
      <c r="D94" s="63" t="str">
        <f t="shared" ref="D94:M94" si="50">IF(AND(D$9&gt;($C94),D$9&lt;($C94+6)), D66-C66,"")</f>
        <v/>
      </c>
      <c r="E94" s="63" t="str">
        <f t="shared" si="50"/>
        <v/>
      </c>
      <c r="F94" s="63" t="str">
        <f t="shared" si="50"/>
        <v/>
      </c>
      <c r="G94" s="63" t="str">
        <f t="shared" si="50"/>
        <v/>
      </c>
      <c r="H94" s="63" t="str">
        <f t="shared" si="50"/>
        <v/>
      </c>
      <c r="I94" s="63" t="str">
        <f t="shared" si="50"/>
        <v/>
      </c>
      <c r="J94" s="63" t="str">
        <f t="shared" si="50"/>
        <v/>
      </c>
      <c r="K94" s="63" t="str">
        <f t="shared" si="50"/>
        <v/>
      </c>
      <c r="L94" s="63" t="str">
        <f t="shared" si="50"/>
        <v/>
      </c>
      <c r="M94" s="63" t="str">
        <f t="shared" si="50"/>
        <v/>
      </c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</row>
    <row r="95" spans="3:27" hidden="1" outlineLevel="1" x14ac:dyDescent="0.35">
      <c r="C95" s="57">
        <f t="shared" si="30"/>
        <v>23</v>
      </c>
      <c r="D95" s="63" t="str">
        <f t="shared" ref="D95:M95" si="51">IF(AND(D$9&gt;($C95),D$9&lt;($C95+6)), D67-C67,"")</f>
        <v/>
      </c>
      <c r="E95" s="63" t="str">
        <f t="shared" si="51"/>
        <v/>
      </c>
      <c r="F95" s="63" t="str">
        <f t="shared" si="51"/>
        <v/>
      </c>
      <c r="G95" s="63" t="str">
        <f t="shared" si="51"/>
        <v/>
      </c>
      <c r="H95" s="63" t="str">
        <f t="shared" si="51"/>
        <v/>
      </c>
      <c r="I95" s="63" t="str">
        <f t="shared" si="51"/>
        <v/>
      </c>
      <c r="J95" s="63" t="str">
        <f t="shared" si="51"/>
        <v/>
      </c>
      <c r="K95" s="63" t="str">
        <f t="shared" si="51"/>
        <v/>
      </c>
      <c r="L95" s="63" t="str">
        <f t="shared" si="51"/>
        <v/>
      </c>
      <c r="M95" s="63" t="str">
        <f t="shared" si="51"/>
        <v/>
      </c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</row>
    <row r="96" spans="3:27" hidden="1" outlineLevel="1" x14ac:dyDescent="0.35">
      <c r="C96" s="57">
        <f t="shared" si="30"/>
        <v>24</v>
      </c>
      <c r="D96" s="63" t="str">
        <f t="shared" ref="D96:M96" si="52">IF(AND(D$9&gt;($C96),D$9&lt;($C96+6)), D68-C68,"")</f>
        <v/>
      </c>
      <c r="E96" s="63" t="str">
        <f t="shared" si="52"/>
        <v/>
      </c>
      <c r="F96" s="63" t="str">
        <f t="shared" si="52"/>
        <v/>
      </c>
      <c r="G96" s="63" t="str">
        <f t="shared" si="52"/>
        <v/>
      </c>
      <c r="H96" s="63" t="str">
        <f t="shared" si="52"/>
        <v/>
      </c>
      <c r="I96" s="63" t="str">
        <f t="shared" si="52"/>
        <v/>
      </c>
      <c r="J96" s="63" t="str">
        <f t="shared" si="52"/>
        <v/>
      </c>
      <c r="K96" s="63" t="str">
        <f t="shared" si="52"/>
        <v/>
      </c>
      <c r="L96" s="63" t="str">
        <f t="shared" si="52"/>
        <v/>
      </c>
      <c r="M96" s="63" t="str">
        <f t="shared" si="52"/>
        <v/>
      </c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</row>
    <row r="97" spans="3:27" hidden="1" outlineLevel="1" x14ac:dyDescent="0.35"/>
    <row r="98" spans="3:27" collapsed="1" x14ac:dyDescent="0.35">
      <c r="C98" t="s">
        <v>83</v>
      </c>
      <c r="D98" s="63">
        <f>SUM(D73:D96)</f>
        <v>0</v>
      </c>
      <c r="E98" s="63">
        <f>SUM(E73:E96)</f>
        <v>-1645.5833333333339</v>
      </c>
      <c r="F98" s="63">
        <f>SUM(F73:F96)</f>
        <v>-2531.666666666667</v>
      </c>
      <c r="G98" s="63">
        <f t="shared" ref="E98:M98" si="53">SUM(G73:G96)</f>
        <v>-4283.4166666666679</v>
      </c>
      <c r="H98" s="63">
        <f t="shared" si="53"/>
        <v>-7483.9333333333343</v>
      </c>
      <c r="I98" s="63">
        <f t="shared" si="53"/>
        <v>-11943.260000000002</v>
      </c>
      <c r="J98" s="63">
        <f t="shared" si="53"/>
        <v>-19158.216000000004</v>
      </c>
      <c r="K98" s="63">
        <f t="shared" si="53"/>
        <v>-30653.145600000003</v>
      </c>
      <c r="L98" s="63">
        <f t="shared" si="53"/>
        <v>-49045.032960000011</v>
      </c>
      <c r="M98" s="63">
        <f t="shared" si="53"/>
        <v>-78472.052736000012</v>
      </c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</row>
    <row r="100" spans="3:27" x14ac:dyDescent="0.35">
      <c r="C100" t="s">
        <v>84</v>
      </c>
      <c r="D100" s="61">
        <f>D98/D13</f>
        <v>0</v>
      </c>
      <c r="E100" s="61">
        <f>E98/E13</f>
        <v>-0.13910942354159481</v>
      </c>
      <c r="F100" s="61">
        <f t="shared" ref="E100:M100" si="54">F98/F13</f>
        <v>-0.11117088040164966</v>
      </c>
      <c r="G100" s="61">
        <f t="shared" si="54"/>
        <v>-0.10695350734094621</v>
      </c>
      <c r="H100" s="61">
        <f t="shared" si="54"/>
        <v>-0.11159822689853381</v>
      </c>
      <c r="I100" s="61">
        <f t="shared" si="54"/>
        <v>-0.10826825866403705</v>
      </c>
      <c r="J100" s="61">
        <f t="shared" si="54"/>
        <v>-0.10675284421965668</v>
      </c>
      <c r="K100" s="61">
        <f t="shared" si="54"/>
        <v>-0.10566197028182768</v>
      </c>
      <c r="L100" s="61">
        <f t="shared" si="54"/>
        <v>-0.10499142369916875</v>
      </c>
      <c r="M100" s="61">
        <f t="shared" si="54"/>
        <v>-0.10457663688948939</v>
      </c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</row>
    <row r="101" spans="3:27" x14ac:dyDescent="0.35">
      <c r="C101" t="s">
        <v>226</v>
      </c>
      <c r="E101" s="61">
        <f>E11/E13</f>
        <v>0.69036934760096658</v>
      </c>
      <c r="F101" s="61">
        <f t="shared" ref="F101:M101" si="55">F11/F13</f>
        <v>0.59171597633136108</v>
      </c>
      <c r="G101" s="61">
        <f t="shared" si="55"/>
        <v>0.53833605220228387</v>
      </c>
      <c r="H101" s="61">
        <f t="shared" si="55"/>
        <v>0.51439427151833994</v>
      </c>
      <c r="I101" s="61">
        <f t="shared" si="55"/>
        <v>0.50034203068503857</v>
      </c>
      <c r="J101" s="61">
        <f t="shared" si="55"/>
        <v>0.49207703119931762</v>
      </c>
      <c r="K101" s="61">
        <f t="shared" si="55"/>
        <v>0.48704864986986962</v>
      </c>
      <c r="L101" s="61">
        <f t="shared" si="55"/>
        <v>0.4839577666799405</v>
      </c>
      <c r="M101" s="61">
        <f t="shared" si="55"/>
        <v>0.48204580767426131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518E-7032-4895-871F-3731F105B950}">
  <dimension ref="A1:BD27"/>
  <sheetViews>
    <sheetView showGridLines="0" zoomScale="47" zoomScaleNormal="47" zoomScalePageLayoutView="235" workbookViewId="0">
      <selection activeCell="X29" sqref="X29"/>
    </sheetView>
  </sheetViews>
  <sheetFormatPr defaultColWidth="0" defaultRowHeight="14.5" x14ac:dyDescent="0.35"/>
  <cols>
    <col min="1" max="1" width="26.54296875" bestFit="1" customWidth="1"/>
    <col min="2" max="2" width="15.54296875" bestFit="1" customWidth="1"/>
    <col min="3" max="3" width="16.54296875" bestFit="1" customWidth="1"/>
    <col min="4" max="4" width="17.453125" bestFit="1" customWidth="1"/>
    <col min="5" max="5" width="15.1796875" bestFit="1" customWidth="1"/>
    <col min="6" max="6" width="29.7265625" bestFit="1" customWidth="1"/>
    <col min="7" max="7" width="10.81640625" customWidth="1"/>
    <col min="8" max="8" width="7.6328125" bestFit="1" customWidth="1"/>
    <col min="9" max="13" width="14.81640625" bestFit="1" customWidth="1"/>
    <col min="14" max="17" width="15.7265625" bestFit="1" customWidth="1"/>
    <col min="18" max="31" width="11.90625" bestFit="1" customWidth="1"/>
    <col min="57" max="16384" width="10.81640625" hidden="1"/>
  </cols>
  <sheetData>
    <row r="1" spans="1:22" ht="15.75" customHeight="1" x14ac:dyDescent="0.35">
      <c r="A1" s="70"/>
      <c r="B1" s="71"/>
      <c r="C1" s="71"/>
      <c r="D1" s="71"/>
      <c r="E1" s="70"/>
      <c r="F1" s="71" t="s">
        <v>85</v>
      </c>
      <c r="G1" s="71"/>
      <c r="H1" s="69">
        <v>1</v>
      </c>
      <c r="I1" s="69">
        <f>H1+1</f>
        <v>2</v>
      </c>
      <c r="J1" s="69">
        <f t="shared" ref="J1:V1" si="0">I1+1</f>
        <v>3</v>
      </c>
      <c r="K1" s="69">
        <f t="shared" si="0"/>
        <v>4</v>
      </c>
      <c r="L1" s="69">
        <f t="shared" si="0"/>
        <v>5</v>
      </c>
      <c r="M1" s="69">
        <f t="shared" si="0"/>
        <v>6</v>
      </c>
      <c r="N1" s="69">
        <f t="shared" si="0"/>
        <v>7</v>
      </c>
      <c r="O1" s="69">
        <f t="shared" si="0"/>
        <v>8</v>
      </c>
      <c r="P1" s="69">
        <f t="shared" si="0"/>
        <v>9</v>
      </c>
      <c r="Q1" s="69">
        <f t="shared" si="0"/>
        <v>10</v>
      </c>
      <c r="R1" s="69">
        <f t="shared" si="0"/>
        <v>11</v>
      </c>
      <c r="S1" s="69">
        <f t="shared" si="0"/>
        <v>12</v>
      </c>
      <c r="T1" s="69">
        <f t="shared" si="0"/>
        <v>13</v>
      </c>
      <c r="U1" s="69">
        <f t="shared" si="0"/>
        <v>14</v>
      </c>
      <c r="V1" s="69">
        <f t="shared" si="0"/>
        <v>15</v>
      </c>
    </row>
    <row r="2" spans="1:22" x14ac:dyDescent="0.35">
      <c r="A2" s="72"/>
    </row>
    <row r="3" spans="1:22" x14ac:dyDescent="0.35">
      <c r="A3" s="73" t="s">
        <v>94</v>
      </c>
      <c r="B3" s="74" t="s">
        <v>90</v>
      </c>
      <c r="C3" s="74" t="s">
        <v>222</v>
      </c>
      <c r="D3" s="75" t="s">
        <v>91</v>
      </c>
      <c r="E3" s="75" t="s">
        <v>217</v>
      </c>
      <c r="F3" s="75" t="s">
        <v>92</v>
      </c>
    </row>
    <row r="4" spans="1:22" x14ac:dyDescent="0.35">
      <c r="A4" s="76" t="s">
        <v>93</v>
      </c>
      <c r="B4" s="77">
        <v>1</v>
      </c>
      <c r="C4" s="77">
        <v>1</v>
      </c>
      <c r="D4" s="77">
        <v>1</v>
      </c>
      <c r="E4" s="77">
        <v>3</v>
      </c>
      <c r="F4" s="77">
        <v>6</v>
      </c>
      <c r="H4" s="78">
        <f>MIN($F$4,IF(H$1&lt;$C$4,0,IF(H$1=$C4,$B4,IF(IF($D4&gt;0,MOD(H$1-$C$4,$E4)=0,0),G4+$D4,G4))))</f>
        <v>1</v>
      </c>
      <c r="I4" s="79">
        <f>MIN($F$4,IF(I$1&lt;$C$4,0,IF(I$1=$C4,$B4,IF(IF($D4&gt;0,MOD(I$1-$C$4,$E4)=0,0),H4+$D4,H4))))</f>
        <v>1</v>
      </c>
      <c r="J4" s="79">
        <f t="shared" ref="J4:V4" si="1">MIN($F$4,IF(J$1&lt;$C$4,0,IF(J$1=$C4,$B4,IF(IF($D4&gt;0,MOD(J$1-$C$4,$E4)=0,0),I4+$D4,I4))))</f>
        <v>1</v>
      </c>
      <c r="K4" s="79">
        <f t="shared" si="1"/>
        <v>2</v>
      </c>
      <c r="L4" s="79">
        <f t="shared" si="1"/>
        <v>2</v>
      </c>
      <c r="M4" s="79">
        <f t="shared" si="1"/>
        <v>2</v>
      </c>
      <c r="N4" s="79">
        <f t="shared" si="1"/>
        <v>3</v>
      </c>
      <c r="O4" s="79">
        <f t="shared" si="1"/>
        <v>3</v>
      </c>
      <c r="P4" s="79">
        <f t="shared" si="1"/>
        <v>3</v>
      </c>
      <c r="Q4" s="79">
        <f t="shared" si="1"/>
        <v>4</v>
      </c>
      <c r="R4" s="79">
        <f t="shared" si="1"/>
        <v>4</v>
      </c>
      <c r="S4" s="79">
        <f t="shared" si="1"/>
        <v>4</v>
      </c>
      <c r="T4" s="79">
        <f t="shared" si="1"/>
        <v>5</v>
      </c>
      <c r="U4" s="79">
        <f t="shared" si="1"/>
        <v>5</v>
      </c>
      <c r="V4" s="79">
        <f t="shared" si="1"/>
        <v>5</v>
      </c>
    </row>
    <row r="7" spans="1:22" ht="15.75" customHeight="1" x14ac:dyDescent="0.35">
      <c r="A7" s="73" t="s">
        <v>218</v>
      </c>
      <c r="B7" s="74" t="s">
        <v>90</v>
      </c>
      <c r="C7" s="74" t="s">
        <v>222</v>
      </c>
      <c r="D7" s="75" t="s">
        <v>91</v>
      </c>
      <c r="E7" s="75" t="s">
        <v>217</v>
      </c>
      <c r="F7" s="75" t="s">
        <v>219</v>
      </c>
      <c r="G7" s="80"/>
    </row>
    <row r="8" spans="1:22" ht="15.75" customHeight="1" x14ac:dyDescent="0.35">
      <c r="A8" s="76" t="s">
        <v>93</v>
      </c>
      <c r="B8" s="81">
        <v>60000</v>
      </c>
      <c r="C8" s="77">
        <f>C4</f>
        <v>1</v>
      </c>
      <c r="D8" s="81">
        <v>10000</v>
      </c>
      <c r="E8" s="77">
        <v>2</v>
      </c>
      <c r="F8" s="81">
        <v>92000</v>
      </c>
      <c r="G8" s="82"/>
      <c r="H8" s="83">
        <f>IF(H$1=$C8,$B8,IF(IF($D8&gt;0,MOD(H$1,$E8)=0,0),MIN($F8,G8+$D8),G8))</f>
        <v>60000</v>
      </c>
      <c r="I8" s="83">
        <f t="shared" ref="I8:Q8" si="2">IF(I$1=$C8,$B8,IF(IF($D8&gt;0,MOD(I$1,$E8)=0,0),MIN($F8,H8+$D8),H8))</f>
        <v>70000</v>
      </c>
      <c r="J8" s="83">
        <f t="shared" ref="J8" si="3">IF(J$1=$C8,$B8,IF(IF($D8&gt;0,MOD(J$1,$E8)=0,0),MIN($F8,I8+$D8),I8))</f>
        <v>70000</v>
      </c>
      <c r="K8" s="83">
        <f t="shared" ref="K8" si="4">IF(K$1=$C8,$B8,IF(IF($D8&gt;0,MOD(K$1,$E8)=0,0),MIN($F8,J8+$D8),J8))</f>
        <v>80000</v>
      </c>
      <c r="L8" s="83">
        <f t="shared" ref="L8" si="5">IF(L$1=$C8,$B8,IF(IF($D8&gt;0,MOD(L$1,$E8)=0,0),MIN($F8,K8+$D8),K8))</f>
        <v>80000</v>
      </c>
      <c r="M8" s="83">
        <f t="shared" ref="M8" si="6">IF(M$1=$C8,$B8,IF(IF($D8&gt;0,MOD(M$1,$E8)=0,0),MIN($F8,L8+$D8),L8))</f>
        <v>90000</v>
      </c>
      <c r="N8" s="83">
        <f t="shared" ref="N8" si="7">IF(N$1=$C8,$B8,IF(IF($D8&gt;0,MOD(N$1,$E8)=0,0),MIN($F8,M8+$D8),M8))</f>
        <v>90000</v>
      </c>
      <c r="O8" s="83">
        <f t="shared" ref="O8" si="8">IF(O$1=$C8,$B8,IF(IF($D8&gt;0,MOD(O$1,$E8)=0,0),MIN($F8,N8+$D8),N8))</f>
        <v>92000</v>
      </c>
      <c r="P8" s="83">
        <f t="shared" ref="P8" si="9">IF(P$1=$C8,$B8,IF(IF($D8&gt;0,MOD(P$1,$E8)=0,0),MIN($F8,O8+$D8),O8))</f>
        <v>92000</v>
      </c>
      <c r="Q8" s="83">
        <f t="shared" ref="Q8" si="10">IF(Q$1=$C8,$B8,IF(IF($D8&gt;0,MOD(Q$1,$E8)=0,0),MIN($F8,P8+$D8),P8))</f>
        <v>92000</v>
      </c>
      <c r="R8" s="83">
        <f t="shared" ref="R8" si="11">IF(R$1=$C8,$B8,IF(IF($D8&gt;0,MOD(R$1,$E8)=0,0),MIN($F8,Q8+$D8),Q8))</f>
        <v>92000</v>
      </c>
      <c r="S8" s="83">
        <f t="shared" ref="S8" si="12">IF(S$1=$C8,$B8,IF(IF($D8&gt;0,MOD(S$1,$E8)=0,0),MIN($F8,R8+$D8),R8))</f>
        <v>92000</v>
      </c>
      <c r="T8" s="83">
        <f t="shared" ref="T8" si="13">IF(T$1=$C8,$B8,IF(IF($D8&gt;0,MOD(T$1,$E8)=0,0),MIN($F8,S8+$D8),S8))</f>
        <v>92000</v>
      </c>
      <c r="U8" s="83">
        <f t="shared" ref="U8" si="14">IF(U$1=$C8,$B8,IF(IF($D8&gt;0,MOD(U$1,$E8)=0,0),MIN($F8,T8+$D8),T8))</f>
        <v>92000</v>
      </c>
      <c r="V8" s="83">
        <f t="shared" ref="V8" si="15">IF(V$1=$C8,$B8,IF(IF($D8&gt;0,MOD(V$1,$E8)=0,0),MIN($F8,U8+$D8),U8))</f>
        <v>92000</v>
      </c>
    </row>
    <row r="11" spans="1:22" x14ac:dyDescent="0.35">
      <c r="F11" s="73" t="s">
        <v>95</v>
      </c>
    </row>
    <row r="12" spans="1:22" x14ac:dyDescent="0.35">
      <c r="F12" s="76" t="s">
        <v>93</v>
      </c>
      <c r="H12" s="84">
        <f>H4*H8</f>
        <v>60000</v>
      </c>
      <c r="I12" s="84">
        <f>I4*I8</f>
        <v>70000</v>
      </c>
      <c r="J12" s="84">
        <f t="shared" ref="J12:V12" si="16">J4*J8</f>
        <v>70000</v>
      </c>
      <c r="K12" s="84">
        <f t="shared" si="16"/>
        <v>160000</v>
      </c>
      <c r="L12" s="84">
        <f t="shared" si="16"/>
        <v>160000</v>
      </c>
      <c r="M12" s="84">
        <f t="shared" si="16"/>
        <v>180000</v>
      </c>
      <c r="N12" s="84">
        <f t="shared" si="16"/>
        <v>270000</v>
      </c>
      <c r="O12" s="84">
        <f t="shared" si="16"/>
        <v>276000</v>
      </c>
      <c r="P12" s="84">
        <f t="shared" si="16"/>
        <v>276000</v>
      </c>
      <c r="Q12" s="84">
        <f t="shared" si="16"/>
        <v>368000</v>
      </c>
      <c r="R12" s="84">
        <f t="shared" si="16"/>
        <v>368000</v>
      </c>
      <c r="S12" s="84">
        <f t="shared" si="16"/>
        <v>368000</v>
      </c>
      <c r="T12" s="84">
        <f t="shared" si="16"/>
        <v>460000</v>
      </c>
      <c r="U12" s="84">
        <f t="shared" si="16"/>
        <v>460000</v>
      </c>
      <c r="V12" s="84">
        <f t="shared" si="16"/>
        <v>460000</v>
      </c>
    </row>
    <row r="19" spans="1:22" x14ac:dyDescent="0.35">
      <c r="A19" s="73" t="s">
        <v>221</v>
      </c>
      <c r="B19" s="74" t="s">
        <v>90</v>
      </c>
      <c r="C19" s="74" t="s">
        <v>222</v>
      </c>
      <c r="D19" s="75" t="s">
        <v>91</v>
      </c>
      <c r="E19" s="75" t="s">
        <v>217</v>
      </c>
      <c r="F19" s="75" t="s">
        <v>92</v>
      </c>
    </row>
    <row r="20" spans="1:22" x14ac:dyDescent="0.35">
      <c r="A20" s="76" t="s">
        <v>223</v>
      </c>
      <c r="B20" s="77">
        <v>1</v>
      </c>
      <c r="C20" s="77">
        <v>1</v>
      </c>
      <c r="D20" s="77">
        <v>1</v>
      </c>
      <c r="E20" s="77">
        <v>3</v>
      </c>
      <c r="F20" s="77">
        <v>2</v>
      </c>
      <c r="H20" s="78">
        <f>MIN($F$4,IF(H$1&lt;$C$4,0,IF(H$1=$C20,$B20,IF(IF($D20&gt;0,MOD(H$1-$C$4,$E20)=0,0),G20+$D20,G20))))</f>
        <v>1</v>
      </c>
      <c r="I20" s="79">
        <f>MIN($F$4,IF(I$1&lt;$C$4,0,IF(I$1=$C20,$B20,IF(IF($D20&gt;0,MOD(I$1-$C$4,$E20)=0,0),H20+$D20,H20))))</f>
        <v>1</v>
      </c>
      <c r="J20" s="79">
        <f t="shared" ref="J20:V20" si="17">MIN($F$4,IF(J$1&lt;$C$4,0,IF(J$1=$C20,$B20,IF(IF($D20&gt;0,MOD(J$1-$C$4,$E20)=0,0),I20+$D20,I20))))</f>
        <v>1</v>
      </c>
      <c r="K20" s="79">
        <f t="shared" si="17"/>
        <v>2</v>
      </c>
      <c r="L20" s="79">
        <f t="shared" si="17"/>
        <v>2</v>
      </c>
      <c r="M20" s="79">
        <f t="shared" si="17"/>
        <v>2</v>
      </c>
      <c r="N20" s="79">
        <f t="shared" si="17"/>
        <v>3</v>
      </c>
      <c r="O20" s="79">
        <f t="shared" si="17"/>
        <v>3</v>
      </c>
      <c r="P20" s="79">
        <f t="shared" si="17"/>
        <v>3</v>
      </c>
      <c r="Q20" s="79">
        <f t="shared" si="17"/>
        <v>4</v>
      </c>
      <c r="R20" s="79">
        <f t="shared" si="17"/>
        <v>4</v>
      </c>
      <c r="S20" s="79">
        <f t="shared" si="17"/>
        <v>4</v>
      </c>
      <c r="T20" s="79">
        <f t="shared" si="17"/>
        <v>5</v>
      </c>
      <c r="U20" s="79">
        <f t="shared" si="17"/>
        <v>5</v>
      </c>
      <c r="V20" s="79">
        <f t="shared" si="17"/>
        <v>5</v>
      </c>
    </row>
    <row r="22" spans="1:22" x14ac:dyDescent="0.35">
      <c r="A22" s="73" t="s">
        <v>218</v>
      </c>
      <c r="B22" s="74" t="s">
        <v>90</v>
      </c>
      <c r="C22" s="74" t="s">
        <v>222</v>
      </c>
      <c r="D22" s="75" t="s">
        <v>91</v>
      </c>
      <c r="E22" s="75" t="s">
        <v>217</v>
      </c>
      <c r="F22" s="75" t="s">
        <v>225</v>
      </c>
      <c r="G22" s="80"/>
    </row>
    <row r="23" spans="1:22" x14ac:dyDescent="0.35">
      <c r="A23" s="76" t="s">
        <v>93</v>
      </c>
      <c r="B23" s="81">
        <f>45*10^6</f>
        <v>45000000</v>
      </c>
      <c r="C23" s="77">
        <v>2</v>
      </c>
      <c r="D23" s="81">
        <v>10000000</v>
      </c>
      <c r="E23" s="77">
        <v>2</v>
      </c>
      <c r="F23" s="81">
        <f>B23*(1.1)</f>
        <v>49500000.000000007</v>
      </c>
      <c r="G23" s="82"/>
      <c r="H23" s="83">
        <f>IF(H$1=$C23,$B23,IF(IF($D23&gt;0,MOD(H$1,$E23)=0,0),MIN($F23,G23+$D23),G23))</f>
        <v>0</v>
      </c>
      <c r="I23" s="83">
        <f t="shared" ref="I23" si="18">IF(I$1=$C23,$B23,IF(IF($D23&gt;0,MOD(I$1,$E23)=0,0),MIN($F23,H23+$D23),H23))</f>
        <v>45000000</v>
      </c>
      <c r="J23" s="83">
        <f t="shared" ref="J23" si="19">IF(J$1=$C23,$B23,IF(IF($D23&gt;0,MOD(J$1,$E23)=0,0),MIN($F23,I23+$D23),I23))</f>
        <v>45000000</v>
      </c>
      <c r="K23" s="83">
        <f t="shared" ref="K23" si="20">IF(K$1=$C23,$B23,IF(IF($D23&gt;0,MOD(K$1,$E23)=0,0),MIN($F23,J23+$D23),J23))</f>
        <v>49500000.000000007</v>
      </c>
      <c r="L23" s="83">
        <f t="shared" ref="L23" si="21">IF(L$1=$C23,$B23,IF(IF($D23&gt;0,MOD(L$1,$E23)=0,0),MIN($F23,K23+$D23),K23))</f>
        <v>49500000.000000007</v>
      </c>
      <c r="M23" s="83">
        <f t="shared" ref="M23" si="22">IF(M$1=$C23,$B23,IF(IF($D23&gt;0,MOD(M$1,$E23)=0,0),MIN($F23,L23+$D23),L23))</f>
        <v>49500000.000000007</v>
      </c>
      <c r="N23" s="83">
        <f t="shared" ref="N23" si="23">IF(N$1=$C23,$B23,IF(IF($D23&gt;0,MOD(N$1,$E23)=0,0),MIN($F23,M23+$D23),M23))</f>
        <v>49500000.000000007</v>
      </c>
      <c r="O23" s="83">
        <f t="shared" ref="O23" si="24">IF(O$1=$C23,$B23,IF(IF($D23&gt;0,MOD(O$1,$E23)=0,0),MIN($F23,N23+$D23),N23))</f>
        <v>49500000.000000007</v>
      </c>
      <c r="P23" s="83">
        <f t="shared" ref="P23" si="25">IF(P$1=$C23,$B23,IF(IF($D23&gt;0,MOD(P$1,$E23)=0,0),MIN($F23,O23+$D23),O23))</f>
        <v>49500000.000000007</v>
      </c>
      <c r="Q23" s="83">
        <f t="shared" ref="Q23" si="26">IF(Q$1=$C23,$B23,IF(IF($D23&gt;0,MOD(Q$1,$E23)=0,0),MIN($F23,P23+$D23),P23))</f>
        <v>49500000.000000007</v>
      </c>
      <c r="R23" s="83">
        <f t="shared" ref="R23" si="27">IF(R$1=$C23,$B23,IF(IF($D23&gt;0,MOD(R$1,$E23)=0,0),MIN($F23,Q23+$D23),Q23))</f>
        <v>49500000.000000007</v>
      </c>
      <c r="S23" s="83">
        <f t="shared" ref="S23" si="28">IF(S$1=$C23,$B23,IF(IF($D23&gt;0,MOD(S$1,$E23)=0,0),MIN($F23,R23+$D23),R23))</f>
        <v>49500000.000000007</v>
      </c>
      <c r="T23" s="83">
        <f t="shared" ref="T23" si="29">IF(T$1=$C23,$B23,IF(IF($D23&gt;0,MOD(T$1,$E23)=0,0),MIN($F23,S23+$D23),S23))</f>
        <v>49500000.000000007</v>
      </c>
      <c r="U23" s="83">
        <f t="shared" ref="U23" si="30">IF(U$1=$C23,$B23,IF(IF($D23&gt;0,MOD(U$1,$E23)=0,0),MIN($F23,T23+$D23),T23))</f>
        <v>49500000.000000007</v>
      </c>
      <c r="V23" s="83">
        <f t="shared" ref="V23" si="31">IF(V$1=$C23,$B23,IF(IF($D23&gt;0,MOD(V$1,$E23)=0,0),MIN($F23,U23+$D23),U23))</f>
        <v>49500000.000000007</v>
      </c>
    </row>
    <row r="26" spans="1:22" x14ac:dyDescent="0.35">
      <c r="F26" s="73" t="s">
        <v>224</v>
      </c>
    </row>
    <row r="27" spans="1:22" x14ac:dyDescent="0.35">
      <c r="F27" s="76" t="s">
        <v>93</v>
      </c>
      <c r="H27" s="84">
        <f>H20*H23</f>
        <v>0</v>
      </c>
      <c r="I27" s="84">
        <f t="shared" ref="I27:Q27" si="32">I20*I23</f>
        <v>45000000</v>
      </c>
      <c r="J27" s="84">
        <f t="shared" ref="J27:V27" si="33">J20*J23</f>
        <v>45000000</v>
      </c>
      <c r="K27" s="84">
        <f t="shared" si="33"/>
        <v>99000000.000000015</v>
      </c>
      <c r="L27" s="84">
        <f t="shared" si="33"/>
        <v>99000000.000000015</v>
      </c>
      <c r="M27" s="84">
        <f t="shared" si="33"/>
        <v>99000000.000000015</v>
      </c>
      <c r="N27" s="84">
        <f t="shared" si="33"/>
        <v>148500000.00000003</v>
      </c>
      <c r="O27" s="84">
        <f t="shared" si="33"/>
        <v>148500000.00000003</v>
      </c>
      <c r="P27" s="84">
        <f t="shared" si="33"/>
        <v>148500000.00000003</v>
      </c>
      <c r="Q27" s="84">
        <f t="shared" si="33"/>
        <v>198000000.00000003</v>
      </c>
      <c r="R27" s="84">
        <f t="shared" si="33"/>
        <v>198000000.00000003</v>
      </c>
      <c r="S27" s="84">
        <f t="shared" si="33"/>
        <v>198000000.00000003</v>
      </c>
      <c r="T27" s="84">
        <f t="shared" si="33"/>
        <v>247500000.00000003</v>
      </c>
      <c r="U27" s="84">
        <f t="shared" si="33"/>
        <v>247500000.00000003</v>
      </c>
      <c r="V27" s="84">
        <f t="shared" si="33"/>
        <v>247500000.00000003</v>
      </c>
    </row>
  </sheetData>
  <pageMargins left="0.75" right="0.75" top="1" bottom="1" header="0.5" footer="0.5"/>
  <pageSetup orientation="portrait" horizontalDpi="4294967292" verticalDpi="429496729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7521-761A-4FD3-A8E3-4135D7816B5E}">
  <dimension ref="B8:U97"/>
  <sheetViews>
    <sheetView tabSelected="1" topLeftCell="A22" zoomScale="65" zoomScaleNormal="65" workbookViewId="0">
      <selection activeCell="O50" sqref="O50"/>
    </sheetView>
  </sheetViews>
  <sheetFormatPr defaultRowHeight="14.5" outlineLevelRow="1" x14ac:dyDescent="0.35"/>
  <cols>
    <col min="1" max="2" width="1.7265625" customWidth="1"/>
    <col min="3" max="3" width="28.54296875" bestFit="1" customWidth="1"/>
    <col min="4" max="4" width="26.6328125" bestFit="1" customWidth="1"/>
    <col min="5" max="13" width="12.08984375" bestFit="1" customWidth="1"/>
    <col min="14" max="14" width="10.81640625" customWidth="1"/>
    <col min="15" max="15" width="13.26953125" bestFit="1" customWidth="1"/>
    <col min="16" max="16" width="32.54296875" bestFit="1" customWidth="1"/>
    <col min="17" max="17" width="29.54296875" bestFit="1" customWidth="1"/>
    <col min="18" max="18" width="12.453125" bestFit="1" customWidth="1"/>
    <col min="19" max="19" width="10" bestFit="1" customWidth="1"/>
  </cols>
  <sheetData>
    <row r="8" spans="3:14" x14ac:dyDescent="0.35">
      <c r="C8" s="91" t="s">
        <v>104</v>
      </c>
      <c r="D8" s="49">
        <v>0.6</v>
      </c>
    </row>
    <row r="9" spans="3:14" x14ac:dyDescent="0.35">
      <c r="C9" t="s">
        <v>72</v>
      </c>
      <c r="D9" s="49">
        <v>0.05</v>
      </c>
      <c r="E9" t="s">
        <v>73</v>
      </c>
    </row>
    <row r="10" spans="3:14" x14ac:dyDescent="0.35">
      <c r="C10" t="s">
        <v>228</v>
      </c>
      <c r="D10" s="49">
        <v>0.02</v>
      </c>
    </row>
    <row r="13" spans="3:14" x14ac:dyDescent="0.35">
      <c r="D13" t="s">
        <v>230</v>
      </c>
      <c r="E13" t="s">
        <v>75</v>
      </c>
      <c r="F13" s="47"/>
    </row>
    <row r="14" spans="3:14" x14ac:dyDescent="0.35">
      <c r="C14" t="s">
        <v>68</v>
      </c>
      <c r="D14" s="50">
        <v>100</v>
      </c>
      <c r="E14" s="52">
        <v>0.6</v>
      </c>
      <c r="F14" s="47"/>
      <c r="G14" s="46"/>
      <c r="H14" s="46"/>
      <c r="I14" s="46"/>
      <c r="J14" s="46"/>
      <c r="K14" s="46"/>
      <c r="L14" s="46"/>
      <c r="M14" s="46"/>
      <c r="N14" s="46"/>
    </row>
    <row r="15" spans="3:14" x14ac:dyDescent="0.35">
      <c r="C15" t="s">
        <v>69</v>
      </c>
      <c r="D15" s="50">
        <v>120</v>
      </c>
      <c r="E15" s="52">
        <v>0.3</v>
      </c>
      <c r="F15" s="47"/>
    </row>
    <row r="16" spans="3:14" x14ac:dyDescent="0.35">
      <c r="C16" t="s">
        <v>70</v>
      </c>
      <c r="D16" s="50">
        <v>140</v>
      </c>
      <c r="E16" s="52">
        <f>1- SUM(E14:E15)</f>
        <v>0.10000000000000009</v>
      </c>
      <c r="F16" s="47"/>
    </row>
    <row r="18" spans="2:17" ht="15.5" x14ac:dyDescent="0.35">
      <c r="C18" s="56" t="s">
        <v>89</v>
      </c>
      <c r="D18" s="56">
        <v>1</v>
      </c>
      <c r="E18" s="56">
        <f>D18+1</f>
        <v>2</v>
      </c>
      <c r="F18" s="56">
        <f>E18+1</f>
        <v>3</v>
      </c>
      <c r="G18" s="56">
        <f>F18+1</f>
        <v>4</v>
      </c>
      <c r="H18" s="56">
        <f>G18+1</f>
        <v>5</v>
      </c>
      <c r="I18" s="56">
        <f>H18+1</f>
        <v>6</v>
      </c>
    </row>
    <row r="19" spans="2:17" ht="15.5" x14ac:dyDescent="0.35">
      <c r="C19" s="57" t="s">
        <v>216</v>
      </c>
      <c r="D19" s="58">
        <v>0.56000000000000005</v>
      </c>
      <c r="E19" s="58">
        <v>0.25</v>
      </c>
      <c r="F19" s="58">
        <v>0.25</v>
      </c>
      <c r="G19" s="58">
        <v>0.23</v>
      </c>
      <c r="H19" s="58">
        <v>0.11</v>
      </c>
      <c r="I19" s="58">
        <v>0.11</v>
      </c>
    </row>
    <row r="22" spans="2:17" x14ac:dyDescent="0.35">
      <c r="B22" t="s">
        <v>10</v>
      </c>
      <c r="C22" s="6"/>
      <c r="D22" s="7"/>
      <c r="E22" s="8"/>
      <c r="F22" s="8"/>
      <c r="G22" s="8"/>
      <c r="H22" s="8"/>
      <c r="I22" s="8"/>
      <c r="J22" s="8"/>
      <c r="K22" s="8"/>
    </row>
    <row r="23" spans="2:17" x14ac:dyDescent="0.35">
      <c r="D23" s="9" t="s">
        <v>258</v>
      </c>
      <c r="E23" s="9" t="s">
        <v>258</v>
      </c>
      <c r="F23" s="9" t="s">
        <v>258</v>
      </c>
      <c r="G23" s="44" t="s">
        <v>259</v>
      </c>
      <c r="H23" s="44" t="s">
        <v>259</v>
      </c>
      <c r="I23" s="44" t="s">
        <v>259</v>
      </c>
      <c r="J23" s="44" t="s">
        <v>259</v>
      </c>
      <c r="K23" s="44" t="s">
        <v>259</v>
      </c>
      <c r="L23" s="44" t="s">
        <v>259</v>
      </c>
      <c r="M23" s="44" t="s">
        <v>259</v>
      </c>
      <c r="N23" s="44" t="s">
        <v>259</v>
      </c>
      <c r="O23" s="44" t="s">
        <v>259</v>
      </c>
      <c r="P23" s="44"/>
    </row>
    <row r="24" spans="2:17" x14ac:dyDescent="0.35">
      <c r="C24" s="10"/>
      <c r="D24" s="11" t="s">
        <v>243</v>
      </c>
      <c r="E24" s="11" t="s">
        <v>244</v>
      </c>
      <c r="F24" s="11" t="s">
        <v>245</v>
      </c>
      <c r="G24" s="11" t="s">
        <v>246</v>
      </c>
      <c r="H24" s="11" t="s">
        <v>247</v>
      </c>
      <c r="I24" s="11" t="s">
        <v>248</v>
      </c>
      <c r="J24" s="11" t="s">
        <v>249</v>
      </c>
      <c r="K24" s="11" t="s">
        <v>250</v>
      </c>
      <c r="L24" s="11" t="s">
        <v>251</v>
      </c>
      <c r="M24" s="11" t="s">
        <v>252</v>
      </c>
      <c r="N24" s="11" t="s">
        <v>253</v>
      </c>
      <c r="O24" s="11" t="s">
        <v>254</v>
      </c>
      <c r="P24" s="11"/>
    </row>
    <row r="25" spans="2:17" x14ac:dyDescent="0.35">
      <c r="C25" s="88"/>
      <c r="D25" s="89"/>
      <c r="E25" s="89"/>
      <c r="F25" s="89"/>
      <c r="G25" s="89"/>
      <c r="H25" s="89"/>
      <c r="I25" s="89"/>
      <c r="J25" s="89"/>
      <c r="K25" s="89"/>
      <c r="L25" s="89"/>
      <c r="M25" s="89"/>
      <c r="N25" s="89"/>
      <c r="O25" s="89"/>
      <c r="P25" s="89"/>
    </row>
    <row r="26" spans="2:17" x14ac:dyDescent="0.35">
      <c r="C26" s="90" t="s">
        <v>102</v>
      </c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</row>
    <row r="27" spans="2:17" ht="15" customHeight="1" outlineLevel="1" x14ac:dyDescent="0.35">
      <c r="C27" s="87" t="s">
        <v>103</v>
      </c>
      <c r="D27" s="65">
        <f>(1.3*10^6)/12</f>
        <v>108333.33333333333</v>
      </c>
      <c r="E27" s="65">
        <f>(2*10^6)/12</f>
        <v>166666.66666666666</v>
      </c>
      <c r="F27" s="65">
        <f>3.3*10 ^6 /12</f>
        <v>275000</v>
      </c>
      <c r="G27" s="54">
        <f>F27*(1+$D$8)</f>
        <v>440000</v>
      </c>
      <c r="H27" s="54">
        <f t="shared" ref="H27:M27" si="0">G27*(1+$D$8)</f>
        <v>704000</v>
      </c>
      <c r="I27" s="54">
        <f t="shared" si="0"/>
        <v>1126400</v>
      </c>
      <c r="J27" s="54">
        <f t="shared" si="0"/>
        <v>1802240</v>
      </c>
      <c r="K27" s="54">
        <f t="shared" si="0"/>
        <v>2883584</v>
      </c>
      <c r="L27" s="54">
        <f t="shared" si="0"/>
        <v>4613734.4000000004</v>
      </c>
      <c r="M27" s="54">
        <f t="shared" si="0"/>
        <v>7381975.040000001</v>
      </c>
      <c r="N27" s="54">
        <f t="shared" ref="N27:P27" si="1">M27*(1+$D$8)</f>
        <v>11811160.064000003</v>
      </c>
      <c r="O27" s="54">
        <f t="shared" si="1"/>
        <v>18897856.102400005</v>
      </c>
      <c r="P27" s="54"/>
      <c r="Q27" t="s">
        <v>74</v>
      </c>
    </row>
    <row r="28" spans="2:17" ht="15" customHeight="1" outlineLevel="1" x14ac:dyDescent="0.35">
      <c r="C28" s="91" t="s">
        <v>105</v>
      </c>
      <c r="D28" s="91"/>
      <c r="E28" s="64">
        <f>(E27/D27)-1</f>
        <v>0.53846153846153855</v>
      </c>
      <c r="F28" s="64">
        <f>(F27/E27)-1</f>
        <v>0.65000000000000013</v>
      </c>
      <c r="G28" s="64">
        <f>(G27/F27)-1</f>
        <v>0.60000000000000009</v>
      </c>
      <c r="H28" s="64">
        <f>(H27/G27)-1</f>
        <v>0.60000000000000009</v>
      </c>
      <c r="I28" s="64">
        <f>(I27/H27)-1</f>
        <v>0.60000000000000009</v>
      </c>
      <c r="J28" s="64">
        <f>(J27/I27)-1</f>
        <v>0.60000000000000009</v>
      </c>
      <c r="K28" s="64">
        <f>(K27/J27)-1</f>
        <v>0.60000000000000009</v>
      </c>
      <c r="L28" s="64">
        <f>(L27/K27)-1</f>
        <v>0.60000000000000009</v>
      </c>
      <c r="M28" s="64">
        <f>(M27/L27)-1</f>
        <v>0.60000000000000009</v>
      </c>
      <c r="N28" s="64">
        <f t="shared" ref="N28:P28" si="2">(N27/M27)-1</f>
        <v>0.60000000000000031</v>
      </c>
      <c r="O28" s="64">
        <f t="shared" si="2"/>
        <v>0.60000000000000009</v>
      </c>
      <c r="P28" s="64"/>
    </row>
    <row r="29" spans="2:17" ht="15" customHeight="1" outlineLevel="1" x14ac:dyDescent="0.35">
      <c r="C29" s="91" t="s">
        <v>72</v>
      </c>
      <c r="D29" s="104">
        <f>D9</f>
        <v>0.05</v>
      </c>
      <c r="E29" s="104">
        <f>D29</f>
        <v>0.05</v>
      </c>
      <c r="F29" s="104">
        <f t="shared" ref="F29:M29" si="3">E29</f>
        <v>0.05</v>
      </c>
      <c r="G29" s="104">
        <f t="shared" si="3"/>
        <v>0.05</v>
      </c>
      <c r="H29" s="104">
        <f t="shared" si="3"/>
        <v>0.05</v>
      </c>
      <c r="I29" s="104">
        <f t="shared" si="3"/>
        <v>0.05</v>
      </c>
      <c r="J29" s="104">
        <f t="shared" si="3"/>
        <v>0.05</v>
      </c>
      <c r="K29" s="104">
        <f t="shared" si="3"/>
        <v>0.05</v>
      </c>
      <c r="L29" s="104">
        <f t="shared" si="3"/>
        <v>0.05</v>
      </c>
      <c r="M29" s="104">
        <f t="shared" si="3"/>
        <v>0.05</v>
      </c>
      <c r="N29" s="104">
        <f t="shared" ref="N29:P29" si="4">M29</f>
        <v>0.05</v>
      </c>
      <c r="O29" s="104">
        <f t="shared" si="4"/>
        <v>0.05</v>
      </c>
      <c r="P29" s="104"/>
    </row>
    <row r="30" spans="2:17" ht="15" customHeight="1" outlineLevel="1" x14ac:dyDescent="0.35">
      <c r="C30" s="91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</row>
    <row r="31" spans="2:17" ht="15" customHeight="1" outlineLevel="1" x14ac:dyDescent="0.35">
      <c r="C31" t="s">
        <v>227</v>
      </c>
      <c r="D31" s="47">
        <f>D27*D$29</f>
        <v>5416.666666666667</v>
      </c>
      <c r="E31" s="47">
        <f t="shared" ref="E31:M31" si="5">E27*E$29</f>
        <v>8333.3333333333339</v>
      </c>
      <c r="F31" s="47">
        <f t="shared" si="5"/>
        <v>13750</v>
      </c>
      <c r="G31" s="47">
        <f>G27*G$29</f>
        <v>22000</v>
      </c>
      <c r="H31" s="47">
        <f t="shared" si="5"/>
        <v>35200</v>
      </c>
      <c r="I31" s="47">
        <f t="shared" si="5"/>
        <v>56320</v>
      </c>
      <c r="J31" s="47">
        <f t="shared" si="5"/>
        <v>90112</v>
      </c>
      <c r="K31" s="47">
        <f t="shared" si="5"/>
        <v>144179.20000000001</v>
      </c>
      <c r="L31" s="47">
        <f t="shared" si="5"/>
        <v>230686.72000000003</v>
      </c>
      <c r="M31" s="47">
        <f t="shared" si="5"/>
        <v>369098.75200000009</v>
      </c>
      <c r="N31" s="47">
        <f t="shared" ref="N31:P31" si="6">N27*N$29</f>
        <v>590558.00320000015</v>
      </c>
      <c r="O31" s="47">
        <f t="shared" si="6"/>
        <v>944892.80512000027</v>
      </c>
      <c r="P31" s="47"/>
    </row>
    <row r="32" spans="2:17" ht="15" customHeight="1" outlineLevel="1" x14ac:dyDescent="0.35"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</row>
    <row r="33" spans="2:17" ht="15" customHeight="1" outlineLevel="1" x14ac:dyDescent="0.35">
      <c r="C33" t="s">
        <v>228</v>
      </c>
      <c r="D33" s="104">
        <f>D10</f>
        <v>0.02</v>
      </c>
      <c r="E33" s="104">
        <f>D33</f>
        <v>0.02</v>
      </c>
      <c r="F33" s="104">
        <f t="shared" ref="F33:M33" si="7">E33</f>
        <v>0.02</v>
      </c>
      <c r="G33" s="104">
        <f t="shared" si="7"/>
        <v>0.02</v>
      </c>
      <c r="H33" s="104">
        <f t="shared" si="7"/>
        <v>0.02</v>
      </c>
      <c r="I33" s="104">
        <f t="shared" si="7"/>
        <v>0.02</v>
      </c>
      <c r="J33" s="104">
        <f t="shared" si="7"/>
        <v>0.02</v>
      </c>
      <c r="K33" s="104">
        <f t="shared" si="7"/>
        <v>0.02</v>
      </c>
      <c r="L33" s="104">
        <f t="shared" si="7"/>
        <v>0.02</v>
      </c>
      <c r="M33" s="104">
        <f t="shared" si="7"/>
        <v>0.02</v>
      </c>
      <c r="N33" s="104">
        <f t="shared" ref="N33:P33" si="8">M33</f>
        <v>0.02</v>
      </c>
      <c r="O33" s="104">
        <f t="shared" si="8"/>
        <v>0.02</v>
      </c>
      <c r="P33" s="104"/>
    </row>
    <row r="34" spans="2:17" ht="15" customHeight="1" outlineLevel="1" x14ac:dyDescent="0.35"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</row>
    <row r="35" spans="2:17" ht="15" customHeight="1" outlineLevel="1" x14ac:dyDescent="0.35">
      <c r="C35" t="s">
        <v>66</v>
      </c>
      <c r="D35" s="47">
        <f>(1-D33)*D31</f>
        <v>5308.3333333333339</v>
      </c>
      <c r="E35" s="47">
        <f>(1-E33)*E31</f>
        <v>8166.666666666667</v>
      </c>
      <c r="F35" s="47">
        <f t="shared" ref="F35:M35" si="9">(1-F33)*F31</f>
        <v>13475</v>
      </c>
      <c r="G35" s="47">
        <f t="shared" si="9"/>
        <v>21560</v>
      </c>
      <c r="H35" s="47">
        <f t="shared" si="9"/>
        <v>34496</v>
      </c>
      <c r="I35" s="47">
        <f t="shared" si="9"/>
        <v>55193.599999999999</v>
      </c>
      <c r="J35" s="47">
        <f t="shared" si="9"/>
        <v>88309.759999999995</v>
      </c>
      <c r="K35" s="47">
        <f t="shared" si="9"/>
        <v>141295.61600000001</v>
      </c>
      <c r="L35" s="47">
        <f t="shared" si="9"/>
        <v>226072.98560000001</v>
      </c>
      <c r="M35" s="47">
        <f t="shared" si="9"/>
        <v>361716.7769600001</v>
      </c>
      <c r="N35" s="47">
        <f t="shared" ref="N35:P35" si="10">(1-N33)*N31</f>
        <v>578746.8431360001</v>
      </c>
      <c r="O35" s="47">
        <f t="shared" si="10"/>
        <v>925994.94901760027</v>
      </c>
      <c r="P35" s="47"/>
    </row>
    <row r="36" spans="2:17" ht="15" customHeight="1" outlineLevel="1" x14ac:dyDescent="0.35"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</row>
    <row r="37" spans="2:17" ht="15" customHeight="1" outlineLevel="1" x14ac:dyDescent="0.35">
      <c r="C37" t="s">
        <v>76</v>
      </c>
      <c r="D37" s="55">
        <f>ChurnMatrix!D98</f>
        <v>0</v>
      </c>
      <c r="E37" s="55">
        <f>ChurnMatrix!E98</f>
        <v>-1645.5833333333339</v>
      </c>
      <c r="F37" s="55">
        <f>ChurnMatrix!F98</f>
        <v>-2531.666666666667</v>
      </c>
      <c r="G37" s="55">
        <f>ChurnMatrix!G98</f>
        <v>-4283.4166666666679</v>
      </c>
      <c r="H37" s="55">
        <f>ChurnMatrix!H98</f>
        <v>-7483.9333333333343</v>
      </c>
      <c r="I37" s="55">
        <f>ChurnMatrix!I98</f>
        <v>-11943.260000000002</v>
      </c>
      <c r="J37" s="55">
        <f>ChurnMatrix!J98</f>
        <v>-19158.216000000004</v>
      </c>
      <c r="K37" s="55">
        <f>ChurnMatrix!K98</f>
        <v>-30653.145600000003</v>
      </c>
      <c r="L37" s="55">
        <f>ChurnMatrix!L98</f>
        <v>-49045.032960000011</v>
      </c>
      <c r="M37" s="55">
        <f>ChurnMatrix!M98</f>
        <v>-78472.052736000012</v>
      </c>
      <c r="N37" s="55">
        <f>ChurnMatrix!N98</f>
        <v>0</v>
      </c>
      <c r="O37" s="55">
        <f>ChurnMatrix!O98</f>
        <v>0</v>
      </c>
      <c r="P37" s="55"/>
      <c r="Q37" t="s">
        <v>77</v>
      </c>
    </row>
    <row r="38" spans="2:17" ht="15" customHeight="1" outlineLevel="1" x14ac:dyDescent="0.35"/>
    <row r="39" spans="2:17" ht="15" customHeight="1" outlineLevel="1" x14ac:dyDescent="0.35">
      <c r="C39" t="s">
        <v>67</v>
      </c>
      <c r="D39" s="47">
        <f>GrowthForecast!D35</f>
        <v>5308.3333333333339</v>
      </c>
      <c r="E39" s="47">
        <f>D39+E35+E37</f>
        <v>11829.416666666666</v>
      </c>
      <c r="F39" s="47">
        <f t="shared" ref="F39:M39" si="11">E39+F35+F37</f>
        <v>22772.749999999996</v>
      </c>
      <c r="G39" s="47">
        <f t="shared" si="11"/>
        <v>40049.333333333328</v>
      </c>
      <c r="H39" s="47">
        <f t="shared" si="11"/>
        <v>67061.399999999994</v>
      </c>
      <c r="I39" s="47">
        <f t="shared" si="11"/>
        <v>110311.73999999999</v>
      </c>
      <c r="J39" s="47">
        <f t="shared" si="11"/>
        <v>179463.28399999999</v>
      </c>
      <c r="K39" s="47">
        <f t="shared" si="11"/>
        <v>290105.75440000003</v>
      </c>
      <c r="L39" s="47">
        <f t="shared" si="11"/>
        <v>467133.70704000001</v>
      </c>
      <c r="M39" s="47">
        <f t="shared" si="11"/>
        <v>750378.43126400013</v>
      </c>
      <c r="N39" s="47">
        <f t="shared" ref="N39:P39" si="12">M39+N35+N37</f>
        <v>1329125.2744000002</v>
      </c>
      <c r="O39" s="47">
        <f t="shared" si="12"/>
        <v>2255120.2234176006</v>
      </c>
      <c r="P39" s="47"/>
    </row>
    <row r="40" spans="2:17" ht="15" customHeight="1" outlineLevel="1" x14ac:dyDescent="0.35"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</row>
    <row r="41" spans="2:17" ht="15" customHeight="1" outlineLevel="1" x14ac:dyDescent="0.35">
      <c r="D41" s="45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</row>
    <row r="42" spans="2:17" ht="15" customHeight="1" outlineLevel="1" x14ac:dyDescent="0.35">
      <c r="C42" t="s">
        <v>84</v>
      </c>
      <c r="D42" s="64">
        <f>ChurnMatrix!D100</f>
        <v>0</v>
      </c>
      <c r="E42" s="64">
        <f>E35/E31</f>
        <v>0.98</v>
      </c>
      <c r="F42" s="64">
        <f t="shared" ref="F42:M42" si="13">F35/F31</f>
        <v>0.98</v>
      </c>
      <c r="G42" s="64">
        <f t="shared" si="13"/>
        <v>0.98</v>
      </c>
      <c r="H42" s="64">
        <f t="shared" si="13"/>
        <v>0.98</v>
      </c>
      <c r="I42" s="64">
        <f t="shared" si="13"/>
        <v>0.98</v>
      </c>
      <c r="J42" s="64">
        <f t="shared" si="13"/>
        <v>0.98</v>
      </c>
      <c r="K42" s="64">
        <f t="shared" si="13"/>
        <v>0.98</v>
      </c>
      <c r="L42" s="64">
        <f t="shared" si="13"/>
        <v>0.98</v>
      </c>
      <c r="M42" s="64">
        <f t="shared" si="13"/>
        <v>0.98</v>
      </c>
      <c r="N42" s="64">
        <f t="shared" ref="N42:P42" si="14">N35/N31</f>
        <v>0.97999999999999987</v>
      </c>
      <c r="O42" s="64">
        <f t="shared" si="14"/>
        <v>0.98</v>
      </c>
      <c r="P42" s="64"/>
    </row>
    <row r="43" spans="2:17" ht="15" customHeight="1" x14ac:dyDescent="0.35">
      <c r="B43" s="86"/>
      <c r="C43" s="102" t="s">
        <v>215</v>
      </c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3"/>
    </row>
    <row r="44" spans="2:17" ht="15" customHeight="1" x14ac:dyDescent="0.35">
      <c r="B44" s="86" t="s">
        <v>68</v>
      </c>
      <c r="C44" t="str">
        <f>"Revenue by Subscribers in " &amp;B44</f>
        <v>Revenue by Subscribers in Plan A</v>
      </c>
      <c r="D44" s="51">
        <f>_xlfn.LET(_xlpm.cumilative, D$39,
     _xlpm.price, INDEX($D$13:$D$16, MATCH($B44,$C$13:$C$16,0)),
     _xlpm.subplan, INDEX($E$13:$E$16, MATCH($B44,$C$13:$C$16,0)),
     _xlpm.return, (_xlpm.cumilative * _xlpm.subplan) * _xlpm.price,
     _xlpm.return
)</f>
        <v>318500.00000000006</v>
      </c>
      <c r="E44" s="51">
        <f>_xlfn.LET(_xlpm.cumilative, E$39,
     _xlpm.price, INDEX($D$13:$D$16, MATCH($B44,$C$13:$C$16,0)),
     _xlpm.subplan, INDEX($E$13:$E$16, MATCH($B44,$C$13:$C$16,0)),
     _xlpm.return, (_xlpm.cumilative * _xlpm.subplan) * _xlpm.price,
     _xlpm.return
)</f>
        <v>709765</v>
      </c>
      <c r="F44" s="51">
        <f>_xlfn.LET(_xlpm.cumilative, F$39,
     _xlpm.price, INDEX($D$13:$D$16, MATCH($B44,$C$13:$C$16,0)),
     _xlpm.subplan, INDEX($E$13:$E$16, MATCH($B44,$C$13:$C$16,0)),
     _xlpm.return, (_xlpm.cumilative * _xlpm.subplan) * _xlpm.price,
     _xlpm.return
)</f>
        <v>1366364.9999999998</v>
      </c>
      <c r="G44" s="51">
        <f>_xlfn.LET(_xlpm.cumilative, G$39,
     _xlpm.price, INDEX($D$13:$D$16, MATCH($B44,$C$13:$C$16,0)),
     _xlpm.subplan, INDEX($E$13:$E$16, MATCH($B44,$C$13:$C$16,0)),
     _xlpm.return, (_xlpm.cumilative * _xlpm.subplan) * _xlpm.price,
     _xlpm.return
)</f>
        <v>2402959.9999999995</v>
      </c>
      <c r="H44" s="51">
        <f>_xlfn.LET(_xlpm.cumilative, H$39,
     _xlpm.price, INDEX($D$13:$D$16, MATCH($B44,$C$13:$C$16,0)),
     _xlpm.subplan, INDEX($E$13:$E$16, MATCH($B44,$C$13:$C$16,0)),
     _xlpm.return, (_xlpm.cumilative * _xlpm.subplan) * _xlpm.price,
     _xlpm.return
)</f>
        <v>4023683.9999999995</v>
      </c>
      <c r="I44" s="51">
        <f>_xlfn.LET(_xlpm.cumilative, I$39,
     _xlpm.price, INDEX($D$13:$D$16, MATCH($B44,$C$13:$C$16,0)),
     _xlpm.subplan, INDEX($E$13:$E$16, MATCH($B44,$C$13:$C$16,0)),
     _xlpm.return, (_xlpm.cumilative * _xlpm.subplan) * _xlpm.price,
     _xlpm.return
)</f>
        <v>6618704.3999999994</v>
      </c>
      <c r="J44" s="51">
        <f>_xlfn.LET(_xlpm.cumilative, J$39,
     _xlpm.price, INDEX($D$13:$D$16, MATCH($B44,$C$13:$C$16,0)),
     _xlpm.subplan, INDEX($E$13:$E$16, MATCH($B44,$C$13:$C$16,0)),
     _xlpm.return, (_xlpm.cumilative * _xlpm.subplan) * _xlpm.price,
     _xlpm.return
)</f>
        <v>10767797.039999999</v>
      </c>
      <c r="K44" s="51">
        <f>_xlfn.LET(_xlpm.cumilative, K$39,
     _xlpm.price, INDEX($D$13:$D$16, MATCH($B44,$C$13:$C$16,0)),
     _xlpm.subplan, INDEX($E$13:$E$16, MATCH($B44,$C$13:$C$16,0)),
     _xlpm.return, (_xlpm.cumilative * _xlpm.subplan) * _xlpm.price,
     _xlpm.return
)</f>
        <v>17406345.263999999</v>
      </c>
      <c r="L44" s="51">
        <f>_xlfn.LET(_xlpm.cumilative, L$39,
     _xlpm.price, INDEX($D$13:$D$16, MATCH($B44,$C$13:$C$16,0)),
     _xlpm.subplan, INDEX($E$13:$E$16, MATCH($B44,$C$13:$C$16,0)),
     _xlpm.return, (_xlpm.cumilative * _xlpm.subplan) * _xlpm.price,
     _xlpm.return
)</f>
        <v>28028022.422400001</v>
      </c>
      <c r="M44" s="51">
        <f>_xlfn.LET(_xlpm.cumilative, M$39,
     _xlpm.price, INDEX($D$13:$D$16, MATCH($B44,$C$13:$C$16,0)),
     _xlpm.subplan, INDEX($E$13:$E$16, MATCH($B44,$C$13:$C$16,0)),
     _xlpm.return, (_xlpm.cumilative * _xlpm.subplan) * _xlpm.price,
     _xlpm.return
)</f>
        <v>45022705.875840008</v>
      </c>
      <c r="N44" s="51">
        <f t="shared" ref="N44:P46" si="15">_xlfn.LET(_xlpm.cumilative, N$39,
     _xlpm.price, INDEX($D$13:$D$16, MATCH($B44,$C$13:$C$16,0)),
     _xlpm.subplan, INDEX($E$13:$E$16, MATCH($B44,$C$13:$C$16,0)),
     _xlpm.return, (_xlpm.cumilative * _xlpm.subplan) * _xlpm.price,
     _xlpm.return
)</f>
        <v>79747516.464000016</v>
      </c>
      <c r="O44" s="51">
        <f t="shared" si="15"/>
        <v>135307213.40505603</v>
      </c>
      <c r="P44" s="51"/>
    </row>
    <row r="45" spans="2:17" ht="15" customHeight="1" x14ac:dyDescent="0.35">
      <c r="B45" s="86" t="s">
        <v>69</v>
      </c>
      <c r="C45" t="str">
        <f t="shared" ref="C45:C46" si="16">"Revenue by Subscribers in " &amp;B45</f>
        <v>Revenue by Subscribers in Plan B</v>
      </c>
      <c r="D45" s="51">
        <f>_xlfn.LET(_xlpm.cumilative, D$39,
     _xlpm.price, INDEX($D$13:$D$16, MATCH($B45,$C$13:$C$16,0)),
     _xlpm.subplan, INDEX($E$13:$E$16, MATCH($B45,$C$13:$C$16,0)),
     _xlpm.return, (_xlpm.cumilative * _xlpm.subplan) * _xlpm.price,
     _xlpm.return
)</f>
        <v>191100.00000000003</v>
      </c>
      <c r="E45" s="51">
        <f>_xlfn.LET(_xlpm.cumilative, E$39,
     _xlpm.price, INDEX($D$13:$D$16, MATCH($B45,$C$13:$C$16,0)),
     _xlpm.subplan, INDEX($E$13:$E$16, MATCH($B45,$C$13:$C$16,0)),
     _xlpm.return, (_xlpm.cumilative * _xlpm.subplan) * _xlpm.price,
     _xlpm.return
)</f>
        <v>425859</v>
      </c>
      <c r="F45" s="51">
        <f>_xlfn.LET(_xlpm.cumilative, F$39,
     _xlpm.price, INDEX($D$13:$D$16, MATCH($B45,$C$13:$C$16,0)),
     _xlpm.subplan, INDEX($E$13:$E$16, MATCH($B45,$C$13:$C$16,0)),
     _xlpm.return, (_xlpm.cumilative * _xlpm.subplan) * _xlpm.price,
     _xlpm.return
)</f>
        <v>819818.99999999988</v>
      </c>
      <c r="G45" s="51">
        <f>_xlfn.LET(_xlpm.cumilative, G$39,
     _xlpm.price, INDEX($D$13:$D$16, MATCH($B45,$C$13:$C$16,0)),
     _xlpm.subplan, INDEX($E$13:$E$16, MATCH($B45,$C$13:$C$16,0)),
     _xlpm.return, (_xlpm.cumilative * _xlpm.subplan) * _xlpm.price,
     _xlpm.return
)</f>
        <v>1441775.9999999998</v>
      </c>
      <c r="H45" s="51">
        <f>_xlfn.LET(_xlpm.cumilative, H$39,
     _xlpm.price, INDEX($D$13:$D$16, MATCH($B45,$C$13:$C$16,0)),
     _xlpm.subplan, INDEX($E$13:$E$16, MATCH($B45,$C$13:$C$16,0)),
     _xlpm.return, (_xlpm.cumilative * _xlpm.subplan) * _xlpm.price,
     _xlpm.return
)</f>
        <v>2414210.4</v>
      </c>
      <c r="I45" s="51">
        <f>_xlfn.LET(_xlpm.cumilative, I$39,
     _xlpm.price, INDEX($D$13:$D$16, MATCH($B45,$C$13:$C$16,0)),
     _xlpm.subplan, INDEX($E$13:$E$16, MATCH($B45,$C$13:$C$16,0)),
     _xlpm.return, (_xlpm.cumilative * _xlpm.subplan) * _xlpm.price,
     _xlpm.return
)</f>
        <v>3971222.6399999997</v>
      </c>
      <c r="J45" s="51">
        <f>_xlfn.LET(_xlpm.cumilative, J$39,
     _xlpm.price, INDEX($D$13:$D$16, MATCH($B45,$C$13:$C$16,0)),
     _xlpm.subplan, INDEX($E$13:$E$16, MATCH($B45,$C$13:$C$16,0)),
     _xlpm.return, (_xlpm.cumilative * _xlpm.subplan) * _xlpm.price,
     _xlpm.return
)</f>
        <v>6460678.2239999995</v>
      </c>
      <c r="K45" s="51">
        <f>_xlfn.LET(_xlpm.cumilative, K$39,
     _xlpm.price, INDEX($D$13:$D$16, MATCH($B45,$C$13:$C$16,0)),
     _xlpm.subplan, INDEX($E$13:$E$16, MATCH($B45,$C$13:$C$16,0)),
     _xlpm.return, (_xlpm.cumilative * _xlpm.subplan) * _xlpm.price,
     _xlpm.return
)</f>
        <v>10443807.158400001</v>
      </c>
      <c r="L45" s="51">
        <f>_xlfn.LET(_xlpm.cumilative, L$39,
     _xlpm.price, INDEX($D$13:$D$16, MATCH($B45,$C$13:$C$16,0)),
     _xlpm.subplan, INDEX($E$13:$E$16, MATCH($B45,$C$13:$C$16,0)),
     _xlpm.return, (_xlpm.cumilative * _xlpm.subplan) * _xlpm.price,
     _xlpm.return
)</f>
        <v>16816813.453439999</v>
      </c>
      <c r="M45" s="51">
        <f>_xlfn.LET(_xlpm.cumilative, M$39,
     _xlpm.price, INDEX($D$13:$D$16, MATCH($B45,$C$13:$C$16,0)),
     _xlpm.subplan, INDEX($E$13:$E$16, MATCH($B45,$C$13:$C$16,0)),
     _xlpm.return, (_xlpm.cumilative * _xlpm.subplan) * _xlpm.price,
     _xlpm.return
)</f>
        <v>27013623.525504004</v>
      </c>
      <c r="N45" s="51">
        <f t="shared" si="15"/>
        <v>47848509.878400005</v>
      </c>
      <c r="O45" s="51">
        <f t="shared" si="15"/>
        <v>81184328.04303363</v>
      </c>
      <c r="P45" s="51"/>
    </row>
    <row r="46" spans="2:17" ht="15" customHeight="1" x14ac:dyDescent="0.35">
      <c r="B46" s="86" t="s">
        <v>70</v>
      </c>
      <c r="C46" t="str">
        <f t="shared" si="16"/>
        <v>Revenue by Subscribers in Plan C</v>
      </c>
      <c r="D46" s="51">
        <f>_xlfn.LET(_xlpm.cumilative, D$39,
     _xlpm.price, INDEX($D$13:$D$16, MATCH($B46,$C$13:$C$16,0)),
     _xlpm.subplan, INDEX($E$13:$E$16, MATCH($B46,$C$13:$C$16,0)),
     _xlpm.return, (_xlpm.cumilative * _xlpm.subplan) * _xlpm.price,
     _xlpm.return
)</f>
        <v>74316.66666666673</v>
      </c>
      <c r="E46" s="51">
        <f>_xlfn.LET(_xlpm.cumilative, E$39,
     _xlpm.price, INDEX($D$13:$D$16, MATCH($B46,$C$13:$C$16,0)),
     _xlpm.subplan, INDEX($E$13:$E$16, MATCH($B46,$C$13:$C$16,0)),
     _xlpm.return, (_xlpm.cumilative * _xlpm.subplan) * _xlpm.price,
     _xlpm.return
)</f>
        <v>165611.83333333349</v>
      </c>
      <c r="F46" s="51">
        <f>_xlfn.LET(_xlpm.cumilative, F$39,
     _xlpm.price, INDEX($D$13:$D$16, MATCH($B46,$C$13:$C$16,0)),
     _xlpm.subplan, INDEX($E$13:$E$16, MATCH($B46,$C$13:$C$16,0)),
     _xlpm.return, (_xlpm.cumilative * _xlpm.subplan) * _xlpm.price,
     _xlpm.return
)</f>
        <v>318818.50000000023</v>
      </c>
      <c r="G46" s="51">
        <f>_xlfn.LET(_xlpm.cumilative, G$39,
     _xlpm.price, INDEX($D$13:$D$16, MATCH($B46,$C$13:$C$16,0)),
     _xlpm.subplan, INDEX($E$13:$E$16, MATCH($B46,$C$13:$C$16,0)),
     _xlpm.return, (_xlpm.cumilative * _xlpm.subplan) * _xlpm.price,
     _xlpm.return
)</f>
        <v>560690.66666666709</v>
      </c>
      <c r="H46" s="51">
        <f>_xlfn.LET(_xlpm.cumilative, H$39,
     _xlpm.price, INDEX($D$13:$D$16, MATCH($B46,$C$13:$C$16,0)),
     _xlpm.subplan, INDEX($E$13:$E$16, MATCH($B46,$C$13:$C$16,0)),
     _xlpm.return, (_xlpm.cumilative * _xlpm.subplan) * _xlpm.price,
     _xlpm.return
)</f>
        <v>938859.60000000079</v>
      </c>
      <c r="I46" s="51">
        <f>_xlfn.LET(_xlpm.cumilative, I$39,
     _xlpm.price, INDEX($D$13:$D$16, MATCH($B46,$C$13:$C$16,0)),
     _xlpm.subplan, INDEX($E$13:$E$16, MATCH($B46,$C$13:$C$16,0)),
     _xlpm.return, (_xlpm.cumilative * _xlpm.subplan) * _xlpm.price,
     _xlpm.return
)</f>
        <v>1544364.360000001</v>
      </c>
      <c r="J46" s="51">
        <f>_xlfn.LET(_xlpm.cumilative, J$39,
     _xlpm.price, INDEX($D$13:$D$16, MATCH($B46,$C$13:$C$16,0)),
     _xlpm.subplan, INDEX($E$13:$E$16, MATCH($B46,$C$13:$C$16,0)),
     _xlpm.return, (_xlpm.cumilative * _xlpm.subplan) * _xlpm.price,
     _xlpm.return
)</f>
        <v>2512485.9760000017</v>
      </c>
      <c r="K46" s="51">
        <f>_xlfn.LET(_xlpm.cumilative, K$39,
     _xlpm.price, INDEX($D$13:$D$16, MATCH($B46,$C$13:$C$16,0)),
     _xlpm.subplan, INDEX($E$13:$E$16, MATCH($B46,$C$13:$C$16,0)),
     _xlpm.return, (_xlpm.cumilative * _xlpm.subplan) * _xlpm.price,
     _xlpm.return
)</f>
        <v>4061480.5616000043</v>
      </c>
      <c r="L46" s="51">
        <f>_xlfn.LET(_xlpm.cumilative, L$39,
     _xlpm.price, INDEX($D$13:$D$16, MATCH($B46,$C$13:$C$16,0)),
     _xlpm.subplan, INDEX($E$13:$E$16, MATCH($B46,$C$13:$C$16,0)),
     _xlpm.return, (_xlpm.cumilative * _xlpm.subplan) * _xlpm.price,
     _xlpm.return
)</f>
        <v>6539871.8985600062</v>
      </c>
      <c r="M46" s="51">
        <f>_xlfn.LET(_xlpm.cumilative, M$39,
     _xlpm.price, INDEX($D$13:$D$16, MATCH($B46,$C$13:$C$16,0)),
     _xlpm.subplan, INDEX($E$13:$E$16, MATCH($B46,$C$13:$C$16,0)),
     _xlpm.return, (_xlpm.cumilative * _xlpm.subplan) * _xlpm.price,
     _xlpm.return
)</f>
        <v>10505298.037696011</v>
      </c>
      <c r="N46" s="51">
        <f t="shared" si="15"/>
        <v>18607753.841600019</v>
      </c>
      <c r="O46" s="51">
        <f t="shared" si="15"/>
        <v>31571683.127846435</v>
      </c>
      <c r="P46" s="51"/>
    </row>
    <row r="47" spans="2:17" ht="15" customHeight="1" x14ac:dyDescent="0.35"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</row>
    <row r="48" spans="2:17" ht="15" customHeight="1" x14ac:dyDescent="0.35">
      <c r="C48" s="17" t="s">
        <v>71</v>
      </c>
      <c r="D48" s="53">
        <f>SUM(D44:D46)</f>
        <v>583916.66666666686</v>
      </c>
      <c r="E48" s="53">
        <f t="shared" ref="E48:J48" si="17">SUM(E44:E46)</f>
        <v>1301235.8333333335</v>
      </c>
      <c r="F48" s="53">
        <f t="shared" si="17"/>
        <v>2505002.5</v>
      </c>
      <c r="G48" s="53">
        <f t="shared" si="17"/>
        <v>4405426.666666666</v>
      </c>
      <c r="H48" s="53">
        <f t="shared" si="17"/>
        <v>7376754</v>
      </c>
      <c r="I48" s="53">
        <f t="shared" si="17"/>
        <v>12134291.4</v>
      </c>
      <c r="J48" s="53">
        <f t="shared" si="17"/>
        <v>19740961.240000002</v>
      </c>
      <c r="K48" s="53">
        <f>SUM(K44:K46)</f>
        <v>31911632.984000001</v>
      </c>
      <c r="L48" s="53">
        <f t="shared" ref="L48:M48" si="18">SUM(L44:L46)</f>
        <v>51384707.774400011</v>
      </c>
      <c r="M48" s="53">
        <f t="shared" si="18"/>
        <v>82541627.439040035</v>
      </c>
      <c r="N48" s="53">
        <f t="shared" ref="N48:P48" si="19">SUM(N44:N46)</f>
        <v>146203780.18400005</v>
      </c>
      <c r="O48" s="53">
        <f t="shared" si="19"/>
        <v>248063224.57593608</v>
      </c>
      <c r="P48" s="53"/>
    </row>
    <row r="49" spans="3:21" ht="15" customHeight="1" x14ac:dyDescent="0.35">
      <c r="C49" s="18" t="s">
        <v>9</v>
      </c>
      <c r="E49" s="19">
        <f t="shared" ref="E49:K49" si="20">E48/D48-1</f>
        <v>1.2284615384615378</v>
      </c>
      <c r="F49" s="19">
        <f>F48/E48-1</f>
        <v>0.92509492578529495</v>
      </c>
      <c r="G49" s="19">
        <f t="shared" si="20"/>
        <v>0.7586516048054508</v>
      </c>
      <c r="H49" s="19">
        <f t="shared" si="20"/>
        <v>0.67446982055464955</v>
      </c>
      <c r="I49" s="19">
        <f t="shared" si="20"/>
        <v>0.64493643138974144</v>
      </c>
      <c r="J49" s="19">
        <f t="shared" si="20"/>
        <v>0.6268738395387472</v>
      </c>
      <c r="K49" s="19">
        <f t="shared" si="20"/>
        <v>0.61651869916745738</v>
      </c>
      <c r="L49" s="19">
        <f t="shared" ref="L49:M49" si="21">L48/K48-1</f>
        <v>0.61021868734086748</v>
      </c>
      <c r="M49" s="19">
        <f t="shared" si="21"/>
        <v>0.6063461487692352</v>
      </c>
      <c r="N49" s="19">
        <f t="shared" ref="N49" si="22">N48/M48-1</f>
        <v>0.77127329227881769</v>
      </c>
      <c r="O49" s="19">
        <f t="shared" ref="O49" si="23">O48/N48-1</f>
        <v>0.69669501201503903</v>
      </c>
      <c r="P49" s="19"/>
    </row>
    <row r="50" spans="3:21" ht="15" customHeight="1" x14ac:dyDescent="0.35"/>
    <row r="51" spans="3:21" ht="15" customHeight="1" x14ac:dyDescent="0.35"/>
    <row r="52" spans="3:21" x14ac:dyDescent="0.35">
      <c r="T52" s="15"/>
    </row>
    <row r="53" spans="3:21" x14ac:dyDescent="0.35">
      <c r="T53" s="15"/>
      <c r="U53" s="15"/>
    </row>
    <row r="54" spans="3:21" x14ac:dyDescent="0.35">
      <c r="T54" s="15"/>
    </row>
    <row r="55" spans="3:21" x14ac:dyDescent="0.35">
      <c r="T55" s="15"/>
    </row>
    <row r="56" spans="3:21" x14ac:dyDescent="0.35">
      <c r="T56" s="15"/>
    </row>
    <row r="57" spans="3:21" ht="15" customHeight="1" x14ac:dyDescent="0.35"/>
    <row r="58" spans="3:21" x14ac:dyDescent="0.35">
      <c r="S58" s="14"/>
    </row>
    <row r="59" spans="3:21" x14ac:dyDescent="0.35">
      <c r="R59" s="15"/>
      <c r="S59" s="15"/>
    </row>
    <row r="60" spans="3:21" x14ac:dyDescent="0.35">
      <c r="R60" s="15"/>
      <c r="S60" s="15"/>
    </row>
    <row r="61" spans="3:21" x14ac:dyDescent="0.35">
      <c r="T61" s="15"/>
    </row>
    <row r="62" spans="3:21" x14ac:dyDescent="0.35">
      <c r="T62" s="15"/>
    </row>
    <row r="64" spans="3:21" x14ac:dyDescent="0.35">
      <c r="S64" s="15"/>
      <c r="T64" s="15"/>
      <c r="U64" s="15"/>
    </row>
    <row r="65" spans="3:19" x14ac:dyDescent="0.35">
      <c r="S65" s="15"/>
    </row>
    <row r="66" spans="3:19" x14ac:dyDescent="0.35"/>
    <row r="69" spans="3:19" x14ac:dyDescent="0.35">
      <c r="S69" s="15"/>
    </row>
    <row r="71" spans="3:19" x14ac:dyDescent="0.35"/>
    <row r="73" spans="3:19" x14ac:dyDescent="0.35">
      <c r="S73" s="15"/>
    </row>
    <row r="76" spans="3:19" x14ac:dyDescent="0.35"/>
    <row r="77" spans="3:19" x14ac:dyDescent="0.35"/>
    <row r="83" spans="3:3" x14ac:dyDescent="0.35"/>
    <row r="84" spans="3:3" x14ac:dyDescent="0.35"/>
    <row r="90" spans="3:3" ht="15" customHeight="1" x14ac:dyDescent="0.35"/>
    <row r="92" spans="3:3" ht="15" customHeight="1" x14ac:dyDescent="0.35"/>
    <row r="93" spans="3:3" ht="15" customHeight="1" x14ac:dyDescent="0.35"/>
    <row r="95" spans="3:3" ht="15" customHeight="1" x14ac:dyDescent="0.35"/>
    <row r="96" spans="3:3" ht="15" customHeight="1" x14ac:dyDescent="0.35"/>
    <row r="97" ht="15.75" customHeight="1" x14ac:dyDescent="0.35"/>
  </sheetData>
  <phoneticPr fontId="32" type="noConversion"/>
  <dataValidations count="1">
    <dataValidation type="list" allowBlank="1" showInputMessage="1" showErrorMessage="1" sqref="B44:B46" xr:uid="{CFC931B8-714F-4793-9B91-3844443A0131}">
      <formula1>$C$14:$C$16</formula1>
    </dataValidation>
  </dataValidation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26143-DF7C-4B08-A768-A1BFCBA79751}">
  <dimension ref="B2:P45"/>
  <sheetViews>
    <sheetView topLeftCell="E23" workbookViewId="0">
      <selection activeCell="N30" sqref="N30"/>
    </sheetView>
  </sheetViews>
  <sheetFormatPr defaultRowHeight="14.5" outlineLevelRow="1" x14ac:dyDescent="0.35"/>
  <cols>
    <col min="2" max="2" width="18.54296875" bestFit="1" customWidth="1"/>
    <col min="3" max="3" width="12.90625" bestFit="1" customWidth="1"/>
    <col min="4" max="4" width="10.81640625" bestFit="1" customWidth="1"/>
    <col min="5" max="5" width="12.08984375" bestFit="1" customWidth="1"/>
    <col min="6" max="6" width="12.81640625" bestFit="1" customWidth="1"/>
    <col min="7" max="9" width="11.54296875" bestFit="1" customWidth="1"/>
    <col min="10" max="13" width="12.36328125" bestFit="1" customWidth="1"/>
    <col min="14" max="14" width="13.453125" bestFit="1" customWidth="1"/>
  </cols>
  <sheetData>
    <row r="2" spans="2:11" x14ac:dyDescent="0.35">
      <c r="B2" s="105" t="s">
        <v>274</v>
      </c>
      <c r="C2" s="105"/>
      <c r="D2" s="105"/>
      <c r="E2" s="105"/>
      <c r="J2" s="105" t="s">
        <v>275</v>
      </c>
      <c r="K2" s="105"/>
    </row>
    <row r="3" spans="2:11" x14ac:dyDescent="0.35">
      <c r="C3" t="s">
        <v>232</v>
      </c>
      <c r="D3" t="s">
        <v>277</v>
      </c>
      <c r="E3" t="s">
        <v>233</v>
      </c>
      <c r="J3" t="s">
        <v>234</v>
      </c>
      <c r="K3">
        <v>2000</v>
      </c>
    </row>
    <row r="4" spans="2:11" x14ac:dyDescent="0.35">
      <c r="B4" s="17" t="s">
        <v>269</v>
      </c>
      <c r="C4">
        <v>40</v>
      </c>
      <c r="D4">
        <v>8</v>
      </c>
      <c r="E4">
        <f t="shared" ref="E4:E9" si="0">C4*D4</f>
        <v>320</v>
      </c>
      <c r="J4" t="s">
        <v>235</v>
      </c>
      <c r="K4">
        <v>150</v>
      </c>
    </row>
    <row r="5" spans="2:11" x14ac:dyDescent="0.35">
      <c r="B5" s="17" t="s">
        <v>270</v>
      </c>
      <c r="C5">
        <v>50</v>
      </c>
      <c r="D5">
        <v>4</v>
      </c>
      <c r="E5">
        <f t="shared" si="0"/>
        <v>200</v>
      </c>
      <c r="J5" t="s">
        <v>236</v>
      </c>
      <c r="K5">
        <v>100</v>
      </c>
    </row>
    <row r="6" spans="2:11" x14ac:dyDescent="0.35">
      <c r="B6" s="17" t="s">
        <v>278</v>
      </c>
      <c r="C6">
        <v>89.99</v>
      </c>
      <c r="D6">
        <v>4</v>
      </c>
      <c r="E6">
        <f t="shared" si="0"/>
        <v>359.96</v>
      </c>
      <c r="J6" t="s">
        <v>237</v>
      </c>
      <c r="K6">
        <v>150</v>
      </c>
    </row>
    <row r="7" spans="2:11" x14ac:dyDescent="0.35">
      <c r="B7" s="17" t="s">
        <v>271</v>
      </c>
      <c r="C7">
        <v>25</v>
      </c>
      <c r="D7">
        <v>1</v>
      </c>
      <c r="E7">
        <f t="shared" si="0"/>
        <v>25</v>
      </c>
      <c r="J7" t="s">
        <v>238</v>
      </c>
      <c r="K7">
        <v>50</v>
      </c>
    </row>
    <row r="8" spans="2:11" x14ac:dyDescent="0.35">
      <c r="B8" s="17" t="s">
        <v>279</v>
      </c>
      <c r="C8">
        <v>89.99</v>
      </c>
      <c r="D8">
        <v>4</v>
      </c>
      <c r="E8">
        <f t="shared" si="0"/>
        <v>359.96</v>
      </c>
      <c r="J8" t="s">
        <v>239</v>
      </c>
      <c r="K8">
        <v>150</v>
      </c>
    </row>
    <row r="9" spans="2:11" x14ac:dyDescent="0.35">
      <c r="B9" s="17" t="s">
        <v>280</v>
      </c>
      <c r="C9">
        <v>200</v>
      </c>
      <c r="D9">
        <v>1</v>
      </c>
      <c r="E9">
        <f t="shared" si="0"/>
        <v>200</v>
      </c>
      <c r="J9" t="s">
        <v>240</v>
      </c>
      <c r="K9">
        <v>100</v>
      </c>
    </row>
    <row r="10" spans="2:11" x14ac:dyDescent="0.35">
      <c r="B10" s="17" t="s">
        <v>272</v>
      </c>
      <c r="C10">
        <v>8</v>
      </c>
      <c r="D10">
        <v>23</v>
      </c>
      <c r="E10">
        <f>C10*D10</f>
        <v>184</v>
      </c>
      <c r="J10" t="s">
        <v>257</v>
      </c>
      <c r="K10">
        <v>250</v>
      </c>
    </row>
    <row r="11" spans="2:11" x14ac:dyDescent="0.35">
      <c r="B11" s="17" t="s">
        <v>273</v>
      </c>
      <c r="C11">
        <v>50</v>
      </c>
      <c r="D11">
        <v>11</v>
      </c>
      <c r="E11">
        <f>C11*D11</f>
        <v>550</v>
      </c>
      <c r="J11" t="s">
        <v>241</v>
      </c>
      <c r="K11">
        <v>300</v>
      </c>
    </row>
    <row r="12" spans="2:11" x14ac:dyDescent="0.35">
      <c r="B12" s="106" t="s">
        <v>0</v>
      </c>
      <c r="C12" s="106">
        <f>SUM(C4:C11)</f>
        <v>552.98</v>
      </c>
      <c r="D12" s="106">
        <v>1000</v>
      </c>
      <c r="E12" s="106">
        <f>SUM(E4:E11)</f>
        <v>2198.92</v>
      </c>
      <c r="J12" s="106" t="s">
        <v>0</v>
      </c>
      <c r="K12" s="106">
        <f>SUM(K3:K11)</f>
        <v>3250</v>
      </c>
    </row>
    <row r="25" spans="2:16" x14ac:dyDescent="0.35">
      <c r="C25" s="107" t="s">
        <v>255</v>
      </c>
      <c r="D25" s="107"/>
      <c r="E25" s="107"/>
      <c r="F25" s="107"/>
      <c r="G25" s="107"/>
      <c r="H25" s="107"/>
      <c r="I25" s="107"/>
      <c r="J25" s="107"/>
      <c r="K25" s="107"/>
      <c r="L25" s="107"/>
      <c r="M25" s="107"/>
      <c r="N25" s="107"/>
    </row>
    <row r="26" spans="2:16" x14ac:dyDescent="0.35">
      <c r="C26" t="s">
        <v>243</v>
      </c>
      <c r="D26" t="s">
        <v>244</v>
      </c>
      <c r="E26" t="s">
        <v>245</v>
      </c>
      <c r="F26" t="s">
        <v>246</v>
      </c>
      <c r="G26" t="s">
        <v>247</v>
      </c>
      <c r="H26" t="s">
        <v>248</v>
      </c>
      <c r="I26" t="s">
        <v>249</v>
      </c>
      <c r="J26" t="s">
        <v>250</v>
      </c>
      <c r="K26" t="s">
        <v>251</v>
      </c>
      <c r="L26" t="s">
        <v>252</v>
      </c>
      <c r="M26" t="s">
        <v>253</v>
      </c>
      <c r="N26" t="s">
        <v>254</v>
      </c>
    </row>
    <row r="28" spans="2:16" x14ac:dyDescent="0.35">
      <c r="B28" t="s">
        <v>242</v>
      </c>
      <c r="C28">
        <v>30</v>
      </c>
      <c r="D28">
        <v>30</v>
      </c>
      <c r="E28">
        <v>30</v>
      </c>
      <c r="F28">
        <v>30</v>
      </c>
      <c r="G28">
        <v>30</v>
      </c>
      <c r="H28">
        <v>30</v>
      </c>
      <c r="I28">
        <v>30</v>
      </c>
      <c r="J28">
        <v>30</v>
      </c>
      <c r="K28">
        <v>30</v>
      </c>
      <c r="L28">
        <v>30</v>
      </c>
      <c r="M28">
        <v>30</v>
      </c>
      <c r="N28">
        <v>30</v>
      </c>
    </row>
    <row r="30" spans="2:16" x14ac:dyDescent="0.35">
      <c r="B30" t="s">
        <v>256</v>
      </c>
      <c r="C30" s="111">
        <f>GrowthForecast!D48</f>
        <v>583916.66666666686</v>
      </c>
      <c r="D30" s="111">
        <f>C30*(1+D32)</f>
        <v>1301235.8333333335</v>
      </c>
      <c r="E30" s="111">
        <f>D30*(1+E32)</f>
        <v>2505002.5</v>
      </c>
      <c r="F30" s="111">
        <f>E30*(1+F32)</f>
        <v>4405426.666666666</v>
      </c>
      <c r="G30" s="111">
        <f>F30*(1+G32)</f>
        <v>7376754</v>
      </c>
      <c r="H30" s="111">
        <f>G30*(1+H32)</f>
        <v>12134291.4</v>
      </c>
      <c r="I30" s="111">
        <f>H30*(1+I32)</f>
        <v>19740961.240000002</v>
      </c>
      <c r="J30" s="111">
        <f>I30*(1+J32)</f>
        <v>31911632.984000001</v>
      </c>
      <c r="K30" s="111">
        <f>J30*(1+K32)</f>
        <v>51384707.774400011</v>
      </c>
      <c r="L30" s="111">
        <f>K30*(1+L32)</f>
        <v>82541627.439040035</v>
      </c>
      <c r="M30" s="111">
        <f>L30*(1+M32)</f>
        <v>146203780.18400005</v>
      </c>
      <c r="N30" s="111">
        <f>M30*(1+N32)</f>
        <v>248063224.57593608</v>
      </c>
      <c r="P30" s="10" t="s">
        <v>265</v>
      </c>
    </row>
    <row r="31" spans="2:16" x14ac:dyDescent="0.35">
      <c r="C31" s="108"/>
      <c r="D31" s="108"/>
      <c r="E31" s="108"/>
      <c r="F31" s="108"/>
      <c r="G31" s="108"/>
      <c r="H31" s="108"/>
      <c r="I31" s="108"/>
      <c r="J31" s="108"/>
      <c r="K31" s="108"/>
      <c r="L31" s="108"/>
      <c r="M31" s="108"/>
      <c r="N31" s="108"/>
      <c r="P31" s="10"/>
    </row>
    <row r="32" spans="2:16" x14ac:dyDescent="0.35">
      <c r="B32" t="s">
        <v>276</v>
      </c>
      <c r="C32" s="36"/>
      <c r="D32" s="36">
        <f>GrowthForecast!E49</f>
        <v>1.2284615384615378</v>
      </c>
      <c r="E32" s="36">
        <f>GrowthForecast!F49</f>
        <v>0.92509492578529495</v>
      </c>
      <c r="F32" s="36">
        <f>GrowthForecast!G49</f>
        <v>0.7586516048054508</v>
      </c>
      <c r="G32" s="36">
        <f>GrowthForecast!H49</f>
        <v>0.67446982055464955</v>
      </c>
      <c r="H32" s="36">
        <f>GrowthForecast!I49</f>
        <v>0.64493643138974144</v>
      </c>
      <c r="I32" s="36">
        <f>GrowthForecast!J49</f>
        <v>0.6268738395387472</v>
      </c>
      <c r="J32" s="36">
        <f>GrowthForecast!K49</f>
        <v>0.61651869916745738</v>
      </c>
      <c r="K32" s="36">
        <f>GrowthForecast!L49</f>
        <v>0.61021868734086748</v>
      </c>
      <c r="L32" s="36">
        <f>GrowthForecast!M49</f>
        <v>0.6063461487692352</v>
      </c>
      <c r="M32" s="36">
        <f>GrowthForecast!N49</f>
        <v>0.77127329227881769</v>
      </c>
      <c r="N32" s="36">
        <f>GrowthForecast!O49</f>
        <v>0.69669501201503903</v>
      </c>
      <c r="P32" s="10"/>
    </row>
    <row r="33" spans="2:16" x14ac:dyDescent="0.35"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P33" s="10"/>
    </row>
    <row r="34" spans="2:16" outlineLevel="1" x14ac:dyDescent="0.35">
      <c r="B34" t="s">
        <v>267</v>
      </c>
      <c r="C34" s="110">
        <f>K12</f>
        <v>3250</v>
      </c>
      <c r="D34" s="110">
        <f>D30*D44</f>
        <v>7242.4999999999982</v>
      </c>
      <c r="E34" s="110">
        <f>E30*E44</f>
        <v>13942.499999999995</v>
      </c>
      <c r="F34" s="110">
        <f>F30*F44</f>
        <v>24519.999999999989</v>
      </c>
      <c r="G34" s="110">
        <f>G30*G44</f>
        <v>41057.999999999985</v>
      </c>
      <c r="H34" s="110">
        <f>H30*H44</f>
        <v>67537.799999999974</v>
      </c>
      <c r="I34" s="110">
        <f>I30*I44</f>
        <v>109875.47999999998</v>
      </c>
      <c r="J34" s="110">
        <f>J30*J44</f>
        <v>177615.76799999995</v>
      </c>
      <c r="K34" s="110">
        <f>K30*K44</f>
        <v>286000.22879999998</v>
      </c>
      <c r="L34" s="110">
        <f>L30*L44</f>
        <v>459415.36608000007</v>
      </c>
      <c r="M34" s="110">
        <f>M30*M44</f>
        <v>813750.16799999995</v>
      </c>
      <c r="N34" s="110">
        <f>N30*N44</f>
        <v>1380685.8510719999</v>
      </c>
    </row>
    <row r="35" spans="2:16" outlineLevel="1" x14ac:dyDescent="0.35">
      <c r="B35" t="s">
        <v>260</v>
      </c>
      <c r="C35" s="110">
        <f>'Head Count'!H12</f>
        <v>60000</v>
      </c>
      <c r="D35" s="110">
        <f>'Head Count'!I12</f>
        <v>70000</v>
      </c>
      <c r="E35" s="110">
        <f>'Head Count'!J12</f>
        <v>70000</v>
      </c>
      <c r="F35" s="110">
        <f>'Head Count'!K12</f>
        <v>160000</v>
      </c>
      <c r="G35" s="110">
        <f>'Head Count'!L12</f>
        <v>160000</v>
      </c>
      <c r="H35" s="110">
        <f>'Head Count'!M12</f>
        <v>180000</v>
      </c>
      <c r="I35" s="110">
        <f>'Head Count'!N12</f>
        <v>270000</v>
      </c>
      <c r="J35" s="110">
        <f>'Head Count'!O12</f>
        <v>276000</v>
      </c>
      <c r="K35" s="110">
        <f>'Head Count'!P12</f>
        <v>276000</v>
      </c>
      <c r="L35" s="110">
        <f>'Head Count'!Q12</f>
        <v>368000</v>
      </c>
      <c r="M35" s="110">
        <f>'Head Count'!R12</f>
        <v>368000</v>
      </c>
      <c r="N35" s="110">
        <f>'Head Count'!S12</f>
        <v>368000</v>
      </c>
      <c r="P35" s="10" t="s">
        <v>266</v>
      </c>
    </row>
    <row r="36" spans="2:16" outlineLevel="1" x14ac:dyDescent="0.35">
      <c r="B36" t="s">
        <v>261</v>
      </c>
      <c r="C36" s="110">
        <f>C28*$E$12</f>
        <v>65967.600000000006</v>
      </c>
      <c r="D36" s="110">
        <f>C36*D45</f>
        <v>7452.6460678064777</v>
      </c>
      <c r="E36" s="110">
        <f>D36*E45</f>
        <v>841.95777035986373</v>
      </c>
      <c r="F36" s="110">
        <f>E36*F45</f>
        <v>95.119623368616516</v>
      </c>
      <c r="G36" s="110">
        <f>F36*G45</f>
        <v>10.746076665959546</v>
      </c>
      <c r="H36" s="110">
        <f>G36*H45</f>
        <v>1.2140309183434042</v>
      </c>
      <c r="I36" s="110">
        <f>H36*I45</f>
        <v>0.13715434167360124</v>
      </c>
      <c r="J36" s="110">
        <f>I36*J45</f>
        <v>1.5494921221271508E-2</v>
      </c>
      <c r="K36" s="110">
        <f>J36*K45</f>
        <v>1.7505284974848295E-3</v>
      </c>
      <c r="L36" s="110">
        <f>K36*L45</f>
        <v>1.9776480155960646E-4</v>
      </c>
      <c r="M36" s="110">
        <f>L36*M45</f>
        <v>2.2342347920702425E-5</v>
      </c>
      <c r="N36" s="110">
        <f>M36*N45</f>
        <v>2.5241120091800694E-6</v>
      </c>
    </row>
    <row r="37" spans="2:16" outlineLevel="1" x14ac:dyDescent="0.35">
      <c r="B37" t="s">
        <v>262</v>
      </c>
      <c r="C37" s="110">
        <f>K12</f>
        <v>3250</v>
      </c>
      <c r="D37" s="110">
        <f>C37</f>
        <v>3250</v>
      </c>
      <c r="E37" s="110">
        <f t="shared" ref="E37:N37" si="1">D37</f>
        <v>3250</v>
      </c>
      <c r="F37" s="110">
        <f t="shared" si="1"/>
        <v>3250</v>
      </c>
      <c r="G37" s="110">
        <f t="shared" si="1"/>
        <v>3250</v>
      </c>
      <c r="H37" s="110">
        <f t="shared" si="1"/>
        <v>3250</v>
      </c>
      <c r="I37" s="110">
        <f t="shared" si="1"/>
        <v>3250</v>
      </c>
      <c r="J37" s="110">
        <f t="shared" si="1"/>
        <v>3250</v>
      </c>
      <c r="K37" s="110">
        <f t="shared" si="1"/>
        <v>3250</v>
      </c>
      <c r="L37" s="110">
        <f t="shared" si="1"/>
        <v>3250</v>
      </c>
      <c r="M37" s="110">
        <f t="shared" si="1"/>
        <v>3250</v>
      </c>
      <c r="N37" s="110">
        <f t="shared" si="1"/>
        <v>3250</v>
      </c>
    </row>
    <row r="38" spans="2:16" x14ac:dyDescent="0.35">
      <c r="B38" t="s">
        <v>268</v>
      </c>
      <c r="C38" s="110">
        <f>SUM(C34:C37)</f>
        <v>132467.6</v>
      </c>
      <c r="D38" s="110">
        <f>SUM(D34:D37)</f>
        <v>87945.146067806476</v>
      </c>
      <c r="E38" s="110">
        <f>SUM(E34:E37)</f>
        <v>88034.457770359862</v>
      </c>
      <c r="F38" s="110">
        <f>SUM(F34:F37)</f>
        <v>187865.11962336861</v>
      </c>
      <c r="G38" s="110">
        <f>SUM(G34:G37)</f>
        <v>204318.74607666596</v>
      </c>
      <c r="H38" s="110">
        <f>SUM(H34:H37)</f>
        <v>250789.01403091833</v>
      </c>
      <c r="I38" s="110">
        <f>SUM(I34:I37)</f>
        <v>383125.61715434166</v>
      </c>
      <c r="J38" s="110">
        <f>SUM(J34:J37)</f>
        <v>456865.78349492117</v>
      </c>
      <c r="K38" s="110">
        <f>SUM(K34:K37)</f>
        <v>565250.23055052839</v>
      </c>
      <c r="L38" s="110">
        <f>SUM(L34:L37)</f>
        <v>830665.3662777649</v>
      </c>
      <c r="M38" s="110">
        <f>SUM(M34:M37)</f>
        <v>1185000.1680223425</v>
      </c>
      <c r="N38" s="110">
        <f>SUM(N34:N37)</f>
        <v>1751935.851074524</v>
      </c>
    </row>
    <row r="39" spans="2:16" x14ac:dyDescent="0.35">
      <c r="B39" s="106" t="s">
        <v>1</v>
      </c>
      <c r="C39" s="109">
        <f>C30-C38</f>
        <v>451449.06666666688</v>
      </c>
      <c r="D39" s="109">
        <f>D30-D38</f>
        <v>1213290.687265527</v>
      </c>
      <c r="E39" s="109">
        <f>E30-E38</f>
        <v>2416968.0422296403</v>
      </c>
      <c r="F39" s="109">
        <f>F30-F38</f>
        <v>4217561.5470432974</v>
      </c>
      <c r="G39" s="109">
        <f>G30-G38</f>
        <v>7172435.2539233342</v>
      </c>
      <c r="H39" s="109">
        <f>H30-H38</f>
        <v>11883502.385969082</v>
      </c>
      <c r="I39" s="109">
        <f>I30-I38</f>
        <v>19357835.622845661</v>
      </c>
      <c r="J39" s="109">
        <f>J30-J38</f>
        <v>31454767.200505082</v>
      </c>
      <c r="K39" s="109">
        <f>K30-K38</f>
        <v>50819457.543849483</v>
      </c>
      <c r="L39" s="109">
        <f>L30-L38</f>
        <v>81710962.072762266</v>
      </c>
      <c r="M39" s="109">
        <f>M30-M38</f>
        <v>145018780.01597771</v>
      </c>
      <c r="N39" s="109">
        <f>N30-N38</f>
        <v>246311288.72486156</v>
      </c>
    </row>
    <row r="41" spans="2:16" x14ac:dyDescent="0.35">
      <c r="C41" s="36">
        <f>((C30-C38) / C30)</f>
        <v>0.77313954616811775</v>
      </c>
      <c r="D41" s="36">
        <f t="shared" ref="D41:N41" si="2">((D30-D38) / D30)</f>
        <v>0.93241413753376257</v>
      </c>
      <c r="E41" s="36">
        <f t="shared" si="2"/>
        <v>0.96485653895740231</v>
      </c>
      <c r="F41" s="36">
        <f t="shared" si="2"/>
        <v>0.95735597619980006</v>
      </c>
      <c r="G41" s="36">
        <f t="shared" si="2"/>
        <v>0.97230235058988468</v>
      </c>
      <c r="H41" s="36">
        <f t="shared" si="2"/>
        <v>0.97933220772735696</v>
      </c>
      <c r="I41" s="36">
        <f t="shared" si="2"/>
        <v>0.98059235249507326</v>
      </c>
      <c r="J41" s="36">
        <f t="shared" si="2"/>
        <v>0.98568340944119082</v>
      </c>
      <c r="K41" s="36">
        <f t="shared" si="2"/>
        <v>0.98899964104043936</v>
      </c>
      <c r="L41" s="36">
        <f t="shared" si="2"/>
        <v>0.98993640673136418</v>
      </c>
      <c r="M41" s="36">
        <f t="shared" si="2"/>
        <v>0.99189487326161474</v>
      </c>
      <c r="N41" s="36">
        <f t="shared" si="2"/>
        <v>0.99293754302327786</v>
      </c>
    </row>
    <row r="43" spans="2:16" x14ac:dyDescent="0.35">
      <c r="C43" s="105" t="s">
        <v>264</v>
      </c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</row>
    <row r="44" spans="2:16" x14ac:dyDescent="0.35">
      <c r="B44" t="s">
        <v>263</v>
      </c>
      <c r="C44" s="46">
        <f>C34/C30</f>
        <v>5.5658627087198497E-3</v>
      </c>
      <c r="D44" s="46">
        <f>C44</f>
        <v>5.5658627087198497E-3</v>
      </c>
      <c r="E44" s="46">
        <f t="shared" ref="E44:N44" si="3">D44</f>
        <v>5.5658627087198497E-3</v>
      </c>
      <c r="F44" s="46">
        <f t="shared" si="3"/>
        <v>5.5658627087198497E-3</v>
      </c>
      <c r="G44" s="46">
        <f t="shared" si="3"/>
        <v>5.5658627087198497E-3</v>
      </c>
      <c r="H44" s="46">
        <f t="shared" si="3"/>
        <v>5.5658627087198497E-3</v>
      </c>
      <c r="I44" s="46">
        <f t="shared" si="3"/>
        <v>5.5658627087198497E-3</v>
      </c>
      <c r="J44" s="46">
        <f t="shared" si="3"/>
        <v>5.5658627087198497E-3</v>
      </c>
      <c r="K44" s="46">
        <f t="shared" si="3"/>
        <v>5.5658627087198497E-3</v>
      </c>
      <c r="L44" s="46">
        <f t="shared" si="3"/>
        <v>5.5658627087198497E-3</v>
      </c>
      <c r="M44" s="46">
        <f t="shared" si="3"/>
        <v>5.5658627087198497E-3</v>
      </c>
      <c r="N44" s="46">
        <f t="shared" si="3"/>
        <v>5.5658627087198497E-3</v>
      </c>
    </row>
    <row r="45" spans="2:16" x14ac:dyDescent="0.35">
      <c r="B45" t="s">
        <v>231</v>
      </c>
      <c r="C45" s="46">
        <f>C36/C30</f>
        <v>0.11297433994576848</v>
      </c>
      <c r="D45" s="46">
        <f>C45</f>
        <v>0.11297433994576848</v>
      </c>
      <c r="E45" s="46">
        <f t="shared" ref="E45:N45" si="4">D45</f>
        <v>0.11297433994576848</v>
      </c>
      <c r="F45" s="46">
        <f t="shared" si="4"/>
        <v>0.11297433994576848</v>
      </c>
      <c r="G45" s="46">
        <f t="shared" si="4"/>
        <v>0.11297433994576848</v>
      </c>
      <c r="H45" s="46">
        <f t="shared" si="4"/>
        <v>0.11297433994576848</v>
      </c>
      <c r="I45" s="46">
        <f t="shared" si="4"/>
        <v>0.11297433994576848</v>
      </c>
      <c r="J45" s="46">
        <f t="shared" si="4"/>
        <v>0.11297433994576848</v>
      </c>
      <c r="K45" s="46">
        <f t="shared" si="4"/>
        <v>0.11297433994576848</v>
      </c>
      <c r="L45" s="46">
        <f t="shared" si="4"/>
        <v>0.11297433994576848</v>
      </c>
      <c r="M45" s="46">
        <f t="shared" si="4"/>
        <v>0.11297433994576848</v>
      </c>
      <c r="N45" s="46">
        <f t="shared" si="4"/>
        <v>0.11297433994576848</v>
      </c>
    </row>
  </sheetData>
  <phoneticPr fontId="3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92193-18E8-4418-ACF9-8308DA112A4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D2F37-54D1-4B77-B358-D1C8159E265B}">
  <dimension ref="B1:W42"/>
  <sheetViews>
    <sheetView topLeftCell="B16" workbookViewId="0">
      <selection activeCell="E25" sqref="E25"/>
    </sheetView>
  </sheetViews>
  <sheetFormatPr defaultRowHeight="14.5" x14ac:dyDescent="0.35"/>
  <cols>
    <col min="2" max="2" width="1.7265625" bestFit="1" customWidth="1"/>
    <col min="3" max="3" width="31.81640625" bestFit="1" customWidth="1"/>
    <col min="4" max="4" width="9.453125" bestFit="1" customWidth="1"/>
    <col min="15" max="15" width="1.7265625" bestFit="1" customWidth="1"/>
  </cols>
  <sheetData>
    <row r="1" spans="2:22" ht="15" thickBot="1" x14ac:dyDescent="0.4"/>
    <row r="2" spans="2:22" ht="15" thickBot="1" x14ac:dyDescent="0.4">
      <c r="B2" t="s">
        <v>10</v>
      </c>
      <c r="C2" s="20" t="str">
        <f>"Financial Statement Model for "&amp;D5</f>
        <v>Financial Statement Model for Apple</v>
      </c>
      <c r="D2" s="21"/>
      <c r="E2" s="21"/>
      <c r="F2" s="21"/>
      <c r="G2" s="21"/>
      <c r="H2" s="21"/>
      <c r="I2" s="21"/>
      <c r="J2" s="21"/>
      <c r="K2" s="21"/>
    </row>
    <row r="3" spans="2:22" x14ac:dyDescent="0.35">
      <c r="C3" s="22" t="s">
        <v>11</v>
      </c>
      <c r="D3" s="23"/>
      <c r="E3" s="23"/>
      <c r="F3" s="23"/>
      <c r="G3" s="23"/>
      <c r="H3" s="23"/>
    </row>
    <row r="5" spans="2:22" x14ac:dyDescent="0.35">
      <c r="C5" s="12" t="s">
        <v>12</v>
      </c>
      <c r="D5" s="24" t="s">
        <v>13</v>
      </c>
    </row>
    <row r="6" spans="2:22" x14ac:dyDescent="0.35">
      <c r="C6" s="12" t="s">
        <v>14</v>
      </c>
      <c r="D6" s="24" t="s">
        <v>15</v>
      </c>
    </row>
    <row r="7" spans="2:22" x14ac:dyDescent="0.35">
      <c r="C7" t="s">
        <v>16</v>
      </c>
      <c r="D7" s="25">
        <v>1</v>
      </c>
    </row>
    <row r="8" spans="2:22" x14ac:dyDescent="0.35">
      <c r="C8" t="s">
        <v>17</v>
      </c>
      <c r="D8" s="26">
        <v>43500</v>
      </c>
    </row>
    <row r="9" spans="2:22" x14ac:dyDescent="0.35">
      <c r="C9" s="12" t="s">
        <v>18</v>
      </c>
      <c r="D9" s="27">
        <v>45198</v>
      </c>
    </row>
    <row r="10" spans="2:22" x14ac:dyDescent="0.35">
      <c r="C10" t="s">
        <v>19</v>
      </c>
      <c r="D10" s="25" t="s">
        <v>20</v>
      </c>
    </row>
    <row r="13" spans="2:22" x14ac:dyDescent="0.35">
      <c r="C13" s="17"/>
      <c r="D13" s="17"/>
    </row>
    <row r="14" spans="2:22" x14ac:dyDescent="0.35">
      <c r="B14" t="s">
        <v>10</v>
      </c>
      <c r="C14" s="6" t="s">
        <v>21</v>
      </c>
      <c r="D14" s="8"/>
      <c r="E14" s="8"/>
      <c r="F14" s="8"/>
      <c r="G14" s="8"/>
      <c r="H14" s="8"/>
      <c r="I14" s="8"/>
      <c r="J14" s="8"/>
      <c r="K14" s="67"/>
      <c r="O14" t="s">
        <v>10</v>
      </c>
    </row>
    <row r="15" spans="2:22" x14ac:dyDescent="0.35">
      <c r="C15" t="s">
        <v>22</v>
      </c>
      <c r="D15" s="28">
        <f>E15-1</f>
        <v>2021</v>
      </c>
      <c r="E15" s="28">
        <f>F15-1</f>
        <v>2022</v>
      </c>
      <c r="F15" s="28">
        <f>YEAR(D9)</f>
        <v>2023</v>
      </c>
      <c r="G15" s="29">
        <f>F15+1</f>
        <v>2024</v>
      </c>
      <c r="H15" s="29">
        <f>G15+1</f>
        <v>2025</v>
      </c>
      <c r="I15" s="29">
        <f>H15+1</f>
        <v>2026</v>
      </c>
      <c r="J15" s="29">
        <f>I15+1</f>
        <v>2027</v>
      </c>
      <c r="K15" s="68">
        <f>J15+1</f>
        <v>2028</v>
      </c>
      <c r="L15" s="68">
        <f t="shared" ref="L15:M15" si="0">K15+1</f>
        <v>2029</v>
      </c>
      <c r="M15" s="68">
        <f t="shared" si="0"/>
        <v>2030</v>
      </c>
    </row>
    <row r="16" spans="2:22" x14ac:dyDescent="0.35">
      <c r="C16" s="30" t="s">
        <v>23</v>
      </c>
      <c r="D16" s="31">
        <f>EOMONTH(E16,-12)</f>
        <v>44469</v>
      </c>
      <c r="E16" s="31">
        <f>EOMONTH(F16,-12)</f>
        <v>44834</v>
      </c>
      <c r="F16" s="31">
        <f>D9</f>
        <v>45198</v>
      </c>
      <c r="G16" s="31">
        <f>EOMONTH(F16,12)</f>
        <v>45565</v>
      </c>
      <c r="H16" s="31">
        <f>EOMONTH(G16,12)</f>
        <v>45930</v>
      </c>
      <c r="I16" s="31">
        <f>EOMONTH(H16,12)</f>
        <v>46295</v>
      </c>
      <c r="J16" s="31">
        <f>EOMONTH(I16,12)</f>
        <v>46660</v>
      </c>
      <c r="K16" s="31">
        <f>EOMONTH(J16,12)</f>
        <v>47026</v>
      </c>
      <c r="L16" s="31">
        <f t="shared" ref="L16:M16" si="1">EOMONTH(K16,12)</f>
        <v>47391</v>
      </c>
      <c r="M16" s="31">
        <f t="shared" si="1"/>
        <v>47756</v>
      </c>
      <c r="P16" s="32" t="s">
        <v>24</v>
      </c>
      <c r="Q16" s="33"/>
      <c r="R16" s="33"/>
      <c r="S16" s="33"/>
      <c r="T16" s="33"/>
      <c r="U16" s="33"/>
      <c r="V16" s="33"/>
    </row>
    <row r="17" spans="3:17" x14ac:dyDescent="0.35">
      <c r="C17" s="10"/>
      <c r="D17" s="34"/>
      <c r="E17" s="35"/>
      <c r="F17" s="35"/>
      <c r="G17" s="36"/>
      <c r="H17" s="37"/>
      <c r="I17" s="37"/>
      <c r="J17" s="35"/>
      <c r="K17" s="35"/>
      <c r="L17" s="35"/>
      <c r="M17" s="35"/>
    </row>
    <row r="18" spans="3:17" x14ac:dyDescent="0.35">
      <c r="C18" t="s">
        <v>25</v>
      </c>
      <c r="D18" s="13">
        <v>215639</v>
      </c>
      <c r="E18" s="13">
        <v>229234</v>
      </c>
      <c r="F18" s="13">
        <v>265595</v>
      </c>
      <c r="G18" s="16">
        <f>F18*(1+G37)</f>
        <v>265595</v>
      </c>
      <c r="H18" s="16">
        <f>G18*(1+H37)</f>
        <v>265595</v>
      </c>
      <c r="I18" s="16">
        <f>H18*(1+I37)</f>
        <v>265595</v>
      </c>
      <c r="J18" s="16">
        <f>I18*(1+J37)</f>
        <v>265595</v>
      </c>
      <c r="K18" s="16">
        <f>J18*(1+K37)</f>
        <v>265595</v>
      </c>
      <c r="L18" s="16">
        <f t="shared" ref="L18:M18" si="2">K18*(1+L37)</f>
        <v>265595</v>
      </c>
      <c r="M18" s="16">
        <f t="shared" si="2"/>
        <v>265595</v>
      </c>
      <c r="P18" t="s">
        <v>8</v>
      </c>
    </row>
    <row r="19" spans="3:17" x14ac:dyDescent="0.35">
      <c r="C19" t="s">
        <v>26</v>
      </c>
      <c r="D19" s="13">
        <v>-131376</v>
      </c>
      <c r="E19" s="13">
        <v>-141048</v>
      </c>
      <c r="F19" s="13">
        <v>-163756</v>
      </c>
      <c r="G19" s="16">
        <f>G20-G18</f>
        <v>-265595</v>
      </c>
      <c r="H19" s="16">
        <f>H20-H18</f>
        <v>-265595</v>
      </c>
      <c r="I19" s="16">
        <f>I20-I18</f>
        <v>-265595</v>
      </c>
      <c r="J19" s="16">
        <f>J20-J18</f>
        <v>-265595</v>
      </c>
      <c r="K19" s="16">
        <f>K20-K18</f>
        <v>-265595</v>
      </c>
      <c r="L19" s="16">
        <f t="shared" ref="L19:M19" si="3">L20-L18</f>
        <v>-265595</v>
      </c>
      <c r="M19" s="16">
        <f t="shared" si="3"/>
        <v>-265595</v>
      </c>
      <c r="P19" t="s">
        <v>27</v>
      </c>
    </row>
    <row r="20" spans="3:17" x14ac:dyDescent="0.35">
      <c r="C20" s="17" t="s">
        <v>1</v>
      </c>
      <c r="D20" s="38">
        <f>SUM(D18:D19)</f>
        <v>84263</v>
      </c>
      <c r="E20" s="38">
        <f>SUM(E18:E19)</f>
        <v>88186</v>
      </c>
      <c r="F20" s="38">
        <f>SUM(F18:F19)</f>
        <v>101839</v>
      </c>
      <c r="G20" s="38">
        <f>G18*G38</f>
        <v>0</v>
      </c>
      <c r="H20" s="38">
        <f>H18*H38</f>
        <v>0</v>
      </c>
      <c r="I20" s="38">
        <f>I18*I38</f>
        <v>0</v>
      </c>
      <c r="J20" s="38">
        <f>J18*J38</f>
        <v>0</v>
      </c>
      <c r="K20" s="38">
        <f>K18*K38</f>
        <v>0</v>
      </c>
      <c r="L20" s="38">
        <f t="shared" ref="L20:M20" si="4">L18*L38</f>
        <v>0</v>
      </c>
      <c r="M20" s="38">
        <f t="shared" si="4"/>
        <v>0</v>
      </c>
      <c r="P20" s="39" t="s">
        <v>28</v>
      </c>
    </row>
    <row r="21" spans="3:17" x14ac:dyDescent="0.35">
      <c r="C21" t="s">
        <v>29</v>
      </c>
      <c r="D21" s="13">
        <v>-10045</v>
      </c>
      <c r="E21" s="13">
        <v>-11581</v>
      </c>
      <c r="F21" s="13">
        <v>-14236</v>
      </c>
      <c r="G21" s="16">
        <f>-G39*G18</f>
        <v>0</v>
      </c>
      <c r="H21" s="16">
        <f>-H39*H18</f>
        <v>0</v>
      </c>
      <c r="I21" s="16">
        <f>-I39*I18</f>
        <v>0</v>
      </c>
      <c r="J21" s="16">
        <f>-J39*J18</f>
        <v>0</v>
      </c>
      <c r="K21" s="16">
        <f>-K39*K18</f>
        <v>0</v>
      </c>
      <c r="L21" s="16">
        <f t="shared" ref="L21:M21" si="5">-L39*L18</f>
        <v>0</v>
      </c>
      <c r="M21" s="16">
        <f t="shared" si="5"/>
        <v>0</v>
      </c>
      <c r="N21" s="16"/>
      <c r="P21" s="39" t="s">
        <v>30</v>
      </c>
    </row>
    <row r="22" spans="3:17" x14ac:dyDescent="0.35">
      <c r="C22" t="s">
        <v>31</v>
      </c>
      <c r="D22" s="13">
        <v>-14194</v>
      </c>
      <c r="E22" s="13">
        <v>-15261</v>
      </c>
      <c r="F22" s="13">
        <v>-16705</v>
      </c>
      <c r="G22" s="16">
        <f>-G18*G40</f>
        <v>0</v>
      </c>
      <c r="H22" s="16">
        <f>-H18*H40</f>
        <v>0</v>
      </c>
      <c r="I22" s="16">
        <f>-I18*I40</f>
        <v>0</v>
      </c>
      <c r="J22" s="16">
        <f>-J18*J40</f>
        <v>0</v>
      </c>
      <c r="K22" s="16">
        <f>-K18*K40</f>
        <v>0</v>
      </c>
      <c r="L22" s="16">
        <f t="shared" ref="L22:M22" si="6">-L18*L40</f>
        <v>0</v>
      </c>
      <c r="M22" s="16">
        <f t="shared" si="6"/>
        <v>0</v>
      </c>
      <c r="N22" s="16"/>
      <c r="P22" s="39" t="s">
        <v>32</v>
      </c>
    </row>
    <row r="23" spans="3:17" x14ac:dyDescent="0.35">
      <c r="C23" s="17" t="s">
        <v>33</v>
      </c>
      <c r="D23" s="38">
        <f t="shared" ref="D23:K23" si="7">D20+D21+D22</f>
        <v>60024</v>
      </c>
      <c r="E23" s="38">
        <f t="shared" si="7"/>
        <v>61344</v>
      </c>
      <c r="F23" s="38">
        <f t="shared" si="7"/>
        <v>70898</v>
      </c>
      <c r="G23" s="38">
        <f t="shared" si="7"/>
        <v>0</v>
      </c>
      <c r="H23" s="38">
        <f t="shared" si="7"/>
        <v>0</v>
      </c>
      <c r="I23" s="38">
        <f t="shared" si="7"/>
        <v>0</v>
      </c>
      <c r="J23" s="38">
        <f t="shared" si="7"/>
        <v>0</v>
      </c>
      <c r="K23" s="38">
        <f t="shared" si="7"/>
        <v>0</v>
      </c>
      <c r="L23" s="38">
        <f t="shared" ref="L23:M23" si="8">L20+L21+L22</f>
        <v>0</v>
      </c>
      <c r="M23" s="38">
        <f t="shared" si="8"/>
        <v>0</v>
      </c>
      <c r="N23" s="38"/>
      <c r="P23" s="17" t="s">
        <v>34</v>
      </c>
    </row>
    <row r="24" spans="3:17" x14ac:dyDescent="0.35">
      <c r="C24" t="s">
        <v>35</v>
      </c>
      <c r="D24" s="13">
        <v>3999</v>
      </c>
      <c r="E24" s="13">
        <v>5201</v>
      </c>
      <c r="F24" s="13">
        <v>5686</v>
      </c>
      <c r="G24" s="40">
        <f>G157</f>
        <v>0</v>
      </c>
      <c r="H24" s="40">
        <f>H157</f>
        <v>0</v>
      </c>
      <c r="I24" s="40">
        <f>I157</f>
        <v>0</v>
      </c>
      <c r="J24" s="40">
        <f>J157</f>
        <v>0</v>
      </c>
      <c r="K24" s="40">
        <f>K157</f>
        <v>0</v>
      </c>
      <c r="L24" s="40">
        <f t="shared" ref="L24:M24" si="9">L157</f>
        <v>0</v>
      </c>
      <c r="M24" s="40">
        <f t="shared" si="9"/>
        <v>0</v>
      </c>
      <c r="N24" s="40"/>
      <c r="P24" t="s">
        <v>36</v>
      </c>
    </row>
    <row r="25" spans="3:17" x14ac:dyDescent="0.35">
      <c r="C25" t="s">
        <v>37</v>
      </c>
      <c r="D25" s="13">
        <v>-1456</v>
      </c>
      <c r="E25" s="13">
        <v>-2323</v>
      </c>
      <c r="F25" s="13">
        <v>-3240</v>
      </c>
      <c r="G25" s="40">
        <f>-G143</f>
        <v>0</v>
      </c>
      <c r="H25" s="40">
        <f>-H143</f>
        <v>0</v>
      </c>
      <c r="I25" s="40">
        <f>-I143</f>
        <v>0</v>
      </c>
      <c r="J25" s="40">
        <f>-J143</f>
        <v>0</v>
      </c>
      <c r="K25" s="40">
        <f>-K143</f>
        <v>0</v>
      </c>
      <c r="L25" s="40">
        <f t="shared" ref="L25:M25" si="10">-L143</f>
        <v>0</v>
      </c>
      <c r="M25" s="40">
        <f t="shared" si="10"/>
        <v>0</v>
      </c>
      <c r="N25" s="40"/>
      <c r="P25" t="s">
        <v>38</v>
      </c>
    </row>
    <row r="26" spans="3:17" x14ac:dyDescent="0.35">
      <c r="C26" t="s">
        <v>39</v>
      </c>
      <c r="D26" s="13">
        <v>-1195</v>
      </c>
      <c r="E26" s="13">
        <v>-133</v>
      </c>
      <c r="F26" s="13">
        <v>-441</v>
      </c>
      <c r="G26" s="40">
        <f>F26</f>
        <v>-441</v>
      </c>
      <c r="H26" s="40">
        <f>G26</f>
        <v>-441</v>
      </c>
      <c r="I26" s="40">
        <f>H26</f>
        <v>-441</v>
      </c>
      <c r="J26" s="40">
        <f>I26</f>
        <v>-441</v>
      </c>
      <c r="K26" s="40">
        <f>J26</f>
        <v>-441</v>
      </c>
      <c r="L26" s="40">
        <f t="shared" ref="L26:M26" si="11">K26</f>
        <v>-441</v>
      </c>
      <c r="M26" s="40">
        <f t="shared" si="11"/>
        <v>-441</v>
      </c>
      <c r="N26" s="40"/>
      <c r="P26" t="s">
        <v>40</v>
      </c>
    </row>
    <row r="27" spans="3:17" x14ac:dyDescent="0.35">
      <c r="C27" s="17" t="s">
        <v>41</v>
      </c>
      <c r="D27" s="38">
        <f t="shared" ref="D27:K27" si="12">SUM(D23:D26)</f>
        <v>61372</v>
      </c>
      <c r="E27" s="38">
        <f t="shared" si="12"/>
        <v>64089</v>
      </c>
      <c r="F27" s="38">
        <f t="shared" si="12"/>
        <v>72903</v>
      </c>
      <c r="G27" s="38">
        <f>SUM(G23:G26)</f>
        <v>-441</v>
      </c>
      <c r="H27" s="38">
        <f t="shared" si="12"/>
        <v>-441</v>
      </c>
      <c r="I27" s="38">
        <f t="shared" si="12"/>
        <v>-441</v>
      </c>
      <c r="J27" s="38">
        <f t="shared" si="12"/>
        <v>-441</v>
      </c>
      <c r="K27" s="38">
        <f t="shared" si="12"/>
        <v>-441</v>
      </c>
      <c r="L27" s="38">
        <f t="shared" ref="L27:M27" si="13">SUM(L23:L26)</f>
        <v>-441</v>
      </c>
      <c r="M27" s="38">
        <f t="shared" si="13"/>
        <v>-441</v>
      </c>
      <c r="N27" s="38"/>
      <c r="P27" s="17" t="s">
        <v>42</v>
      </c>
      <c r="Q27" s="17"/>
    </row>
    <row r="28" spans="3:17" x14ac:dyDescent="0.35">
      <c r="C28" t="s">
        <v>43</v>
      </c>
      <c r="D28" s="13">
        <v>-15685</v>
      </c>
      <c r="E28" s="13">
        <v>-15738</v>
      </c>
      <c r="F28" s="13">
        <v>-13372</v>
      </c>
      <c r="G28" s="16">
        <f>-G41*G27</f>
        <v>73.647000000000006</v>
      </c>
      <c r="H28" s="16">
        <f>-H41*H27</f>
        <v>74.97</v>
      </c>
      <c r="I28" s="16">
        <f>-I41*I27</f>
        <v>74.529000000000011</v>
      </c>
      <c r="J28" s="16">
        <f>-J41*J27</f>
        <v>74.529000000000011</v>
      </c>
      <c r="K28" s="16">
        <f>-K41*K27</f>
        <v>74.529000000000011</v>
      </c>
      <c r="L28" s="16">
        <f t="shared" ref="L28:M28" si="14">-L41*L27</f>
        <v>74.529000000000011</v>
      </c>
      <c r="M28" s="16">
        <f t="shared" si="14"/>
        <v>74.529000000000011</v>
      </c>
      <c r="N28" s="16"/>
      <c r="P28" t="s">
        <v>44</v>
      </c>
    </row>
    <row r="29" spans="3:17" x14ac:dyDescent="0.35">
      <c r="C29" s="17" t="s">
        <v>45</v>
      </c>
      <c r="D29" s="38">
        <f t="shared" ref="D29:K29" si="15">SUM(D27:D28)</f>
        <v>45687</v>
      </c>
      <c r="E29" s="38">
        <f t="shared" si="15"/>
        <v>48351</v>
      </c>
      <c r="F29" s="38">
        <f t="shared" si="15"/>
        <v>59531</v>
      </c>
      <c r="G29" s="38">
        <f>SUM(G27:G28)</f>
        <v>-367.35300000000001</v>
      </c>
      <c r="H29" s="38">
        <f t="shared" si="15"/>
        <v>-366.03</v>
      </c>
      <c r="I29" s="38">
        <f t="shared" si="15"/>
        <v>-366.471</v>
      </c>
      <c r="J29" s="38">
        <f t="shared" si="15"/>
        <v>-366.471</v>
      </c>
      <c r="K29" s="38">
        <f t="shared" si="15"/>
        <v>-366.471</v>
      </c>
      <c r="L29" s="38">
        <f t="shared" ref="L29:M29" si="16">SUM(L27:L28)</f>
        <v>-366.471</v>
      </c>
      <c r="M29" s="38">
        <f t="shared" si="16"/>
        <v>-366.471</v>
      </c>
      <c r="N29" s="38"/>
      <c r="P29" s="17" t="s">
        <v>46</v>
      </c>
    </row>
    <row r="30" spans="3:17" x14ac:dyDescent="0.35">
      <c r="C30" s="3"/>
      <c r="D30" s="40"/>
      <c r="E30" s="40"/>
      <c r="F30" s="40"/>
      <c r="G30" s="40"/>
      <c r="H30" s="40"/>
      <c r="I30" s="40"/>
      <c r="J30" s="40"/>
      <c r="K30" s="40"/>
      <c r="L30" s="40"/>
      <c r="M30" s="40"/>
      <c r="N30" s="40"/>
    </row>
    <row r="31" spans="3:17" x14ac:dyDescent="0.35">
      <c r="C31" s="41" t="s">
        <v>47</v>
      </c>
      <c r="D31" s="13">
        <v>10505</v>
      </c>
      <c r="E31" s="13">
        <v>10157</v>
      </c>
      <c r="F31" s="13">
        <v>10903</v>
      </c>
      <c r="G31" s="40">
        <f>G107</f>
        <v>0</v>
      </c>
      <c r="H31" s="40">
        <f>H107</f>
        <v>0</v>
      </c>
      <c r="I31" s="40">
        <f>I107</f>
        <v>0</v>
      </c>
      <c r="J31" s="40">
        <f>J107</f>
        <v>0</v>
      </c>
      <c r="K31" s="40">
        <f>K107</f>
        <v>0</v>
      </c>
      <c r="L31" s="40">
        <f t="shared" ref="L31:M31" si="17">L107</f>
        <v>0</v>
      </c>
      <c r="M31" s="40">
        <f t="shared" si="17"/>
        <v>0</v>
      </c>
      <c r="N31" s="40"/>
      <c r="P31" t="s">
        <v>48</v>
      </c>
    </row>
    <row r="32" spans="3:17" x14ac:dyDescent="0.35">
      <c r="C32" s="42" t="s">
        <v>49</v>
      </c>
      <c r="D32" s="38">
        <f t="shared" ref="D32:K32" si="18">D23+D31</f>
        <v>70529</v>
      </c>
      <c r="E32" s="38">
        <f t="shared" si="18"/>
        <v>71501</v>
      </c>
      <c r="F32" s="38">
        <f t="shared" si="18"/>
        <v>81801</v>
      </c>
      <c r="G32" s="38">
        <f t="shared" si="18"/>
        <v>0</v>
      </c>
      <c r="H32" s="38">
        <f t="shared" si="18"/>
        <v>0</v>
      </c>
      <c r="I32" s="38">
        <f t="shared" si="18"/>
        <v>0</v>
      </c>
      <c r="J32" s="38">
        <f t="shared" si="18"/>
        <v>0</v>
      </c>
      <c r="K32" s="38">
        <f t="shared" si="18"/>
        <v>0</v>
      </c>
      <c r="L32" s="38">
        <f t="shared" ref="L32:M32" si="19">L23+L31</f>
        <v>0</v>
      </c>
      <c r="M32" s="38">
        <f t="shared" si="19"/>
        <v>0</v>
      </c>
      <c r="N32" s="38"/>
      <c r="P32" s="17" t="s">
        <v>50</v>
      </c>
    </row>
    <row r="33" spans="3:23" x14ac:dyDescent="0.35">
      <c r="C33" s="41" t="s">
        <v>51</v>
      </c>
      <c r="D33" s="13">
        <v>4210</v>
      </c>
      <c r="E33" s="13">
        <v>4840</v>
      </c>
      <c r="F33" s="13">
        <v>5340</v>
      </c>
      <c r="G33" s="40">
        <f>F33*(1+G37)</f>
        <v>5340</v>
      </c>
      <c r="H33" s="40">
        <f>G33*(1+H37)</f>
        <v>5340</v>
      </c>
      <c r="I33" s="40">
        <f>H33*(1+I37)</f>
        <v>5340</v>
      </c>
      <c r="J33" s="40">
        <f>I33*(1+J37)</f>
        <v>5340</v>
      </c>
      <c r="K33" s="40">
        <f>J33*(1+K37)</f>
        <v>5340</v>
      </c>
      <c r="L33" s="40">
        <f t="shared" ref="L33:M33" si="20">K33*(1+L37)</f>
        <v>5340</v>
      </c>
      <c r="M33" s="40">
        <f t="shared" si="20"/>
        <v>5340</v>
      </c>
      <c r="N33" s="40"/>
      <c r="P33" t="s">
        <v>52</v>
      </c>
    </row>
    <row r="34" spans="3:23" x14ac:dyDescent="0.35">
      <c r="C34" s="42" t="s">
        <v>53</v>
      </c>
      <c r="D34" s="38">
        <f t="shared" ref="D34:K34" si="21">SUM(D32:D33)</f>
        <v>74739</v>
      </c>
      <c r="E34" s="38">
        <f t="shared" si="21"/>
        <v>76341</v>
      </c>
      <c r="F34" s="38">
        <f>SUM(F32:F33)</f>
        <v>87141</v>
      </c>
      <c r="G34" s="38">
        <f t="shared" si="21"/>
        <v>5340</v>
      </c>
      <c r="H34" s="38">
        <f t="shared" si="21"/>
        <v>5340</v>
      </c>
      <c r="I34" s="38">
        <f t="shared" si="21"/>
        <v>5340</v>
      </c>
      <c r="J34" s="38">
        <f t="shared" si="21"/>
        <v>5340</v>
      </c>
      <c r="K34" s="38">
        <f t="shared" si="21"/>
        <v>5340</v>
      </c>
      <c r="L34" s="38">
        <f t="shared" ref="L34:M34" si="22">SUM(L32:L33)</f>
        <v>5340</v>
      </c>
      <c r="M34" s="38">
        <f t="shared" si="22"/>
        <v>5340</v>
      </c>
      <c r="N34" s="38"/>
      <c r="P34" s="17" t="s">
        <v>54</v>
      </c>
    </row>
    <row r="35" spans="3:23" x14ac:dyDescent="0.35">
      <c r="C35" s="3"/>
      <c r="G35" s="43"/>
    </row>
    <row r="36" spans="3:23" x14ac:dyDescent="0.35">
      <c r="C36" s="2" t="s">
        <v>2</v>
      </c>
    </row>
    <row r="37" spans="3:23" x14ac:dyDescent="0.35">
      <c r="C37" s="3" t="s">
        <v>3</v>
      </c>
      <c r="D37" s="4"/>
      <c r="E37" s="4">
        <f>E18/D18-1</f>
        <v>6.304518199398057E-2</v>
      </c>
      <c r="F37" s="4">
        <f>F18/E18-1</f>
        <v>0.15861957650261305</v>
      </c>
      <c r="G37" s="4">
        <f t="shared" ref="G37:K40" si="23">G175</f>
        <v>0</v>
      </c>
      <c r="H37" s="4">
        <f t="shared" si="23"/>
        <v>0</v>
      </c>
      <c r="I37" s="4">
        <f t="shared" si="23"/>
        <v>0</v>
      </c>
      <c r="J37" s="4">
        <f t="shared" si="23"/>
        <v>0</v>
      </c>
      <c r="K37" s="4">
        <f t="shared" si="23"/>
        <v>0</v>
      </c>
      <c r="L37" s="4">
        <f t="shared" ref="L37:M37" si="24">L175</f>
        <v>0</v>
      </c>
      <c r="M37" s="4">
        <f t="shared" si="24"/>
        <v>0</v>
      </c>
      <c r="N37" s="4"/>
      <c r="P37" t="s">
        <v>55</v>
      </c>
      <c r="R37" s="5"/>
      <c r="S37" s="5"/>
      <c r="T37" s="5"/>
      <c r="U37" s="5"/>
      <c r="V37" s="5"/>
      <c r="W37" s="5"/>
    </row>
    <row r="38" spans="3:23" x14ac:dyDescent="0.35">
      <c r="C38" s="3" t="s">
        <v>4</v>
      </c>
      <c r="D38" s="4">
        <f>D20/D18</f>
        <v>0.39075955648097049</v>
      </c>
      <c r="E38" s="4">
        <f>E20/E18</f>
        <v>0.38469860491899105</v>
      </c>
      <c r="F38" s="4">
        <f>F20/F18</f>
        <v>0.38343718820007905</v>
      </c>
      <c r="G38" s="4">
        <f t="shared" si="23"/>
        <v>0</v>
      </c>
      <c r="H38" s="4">
        <f t="shared" si="23"/>
        <v>0</v>
      </c>
      <c r="I38" s="4">
        <f t="shared" si="23"/>
        <v>0</v>
      </c>
      <c r="J38" s="4">
        <f t="shared" si="23"/>
        <v>0</v>
      </c>
      <c r="K38" s="4">
        <f t="shared" si="23"/>
        <v>0</v>
      </c>
      <c r="L38" s="4">
        <f t="shared" ref="L38:M38" si="25">L176</f>
        <v>0</v>
      </c>
      <c r="M38" s="4">
        <f t="shared" si="25"/>
        <v>0</v>
      </c>
      <c r="N38" s="4"/>
      <c r="P38" t="s">
        <v>55</v>
      </c>
      <c r="R38" s="5"/>
      <c r="S38" s="5"/>
      <c r="T38" s="5"/>
      <c r="U38" s="5"/>
      <c r="V38" s="5"/>
      <c r="W38" s="5"/>
    </row>
    <row r="39" spans="3:23" x14ac:dyDescent="0.35">
      <c r="C39" s="3" t="s">
        <v>5</v>
      </c>
      <c r="D39" s="4">
        <f>-D21/D18</f>
        <v>4.6582482760539605E-2</v>
      </c>
      <c r="E39" s="4">
        <f>-E21/E18</f>
        <v>5.0520428906706681E-2</v>
      </c>
      <c r="F39" s="4">
        <f>-F21/F18</f>
        <v>5.3600406634161032E-2</v>
      </c>
      <c r="G39" s="4">
        <f t="shared" si="23"/>
        <v>0</v>
      </c>
      <c r="H39" s="4">
        <f t="shared" si="23"/>
        <v>0</v>
      </c>
      <c r="I39" s="4">
        <f t="shared" si="23"/>
        <v>0</v>
      </c>
      <c r="J39" s="4">
        <f t="shared" si="23"/>
        <v>0</v>
      </c>
      <c r="K39" s="4">
        <f t="shared" si="23"/>
        <v>0</v>
      </c>
      <c r="L39" s="4">
        <f t="shared" ref="L39:M39" si="26">L177</f>
        <v>0</v>
      </c>
      <c r="M39" s="4">
        <f t="shared" si="26"/>
        <v>0</v>
      </c>
      <c r="N39" s="4"/>
      <c r="P39" t="s">
        <v>55</v>
      </c>
      <c r="R39" s="5"/>
      <c r="S39" s="5"/>
      <c r="T39" s="5"/>
      <c r="U39" s="5"/>
      <c r="V39" s="5"/>
      <c r="W39" s="5"/>
    </row>
    <row r="40" spans="3:23" x14ac:dyDescent="0.35">
      <c r="C40" s="3" t="s">
        <v>6</v>
      </c>
      <c r="D40" s="4">
        <f>-D22/D18</f>
        <v>6.5822972653369755E-2</v>
      </c>
      <c r="E40" s="4">
        <f>-E22/E18</f>
        <v>6.6573893924984945E-2</v>
      </c>
      <c r="F40" s="4">
        <f>-F22/F18</f>
        <v>6.2896515371147807E-2</v>
      </c>
      <c r="G40" s="4">
        <f t="shared" si="23"/>
        <v>0</v>
      </c>
      <c r="H40" s="4">
        <f t="shared" si="23"/>
        <v>0</v>
      </c>
      <c r="I40" s="4">
        <f t="shared" si="23"/>
        <v>0</v>
      </c>
      <c r="J40" s="4">
        <f t="shared" si="23"/>
        <v>0</v>
      </c>
      <c r="K40" s="4">
        <f t="shared" si="23"/>
        <v>0</v>
      </c>
      <c r="L40" s="4">
        <f t="shared" ref="L40:M40" si="27">L178</f>
        <v>0</v>
      </c>
      <c r="M40" s="4">
        <f t="shared" si="27"/>
        <v>0</v>
      </c>
      <c r="N40" s="4"/>
      <c r="P40" t="s">
        <v>55</v>
      </c>
      <c r="R40" s="5"/>
      <c r="S40" s="5"/>
      <c r="T40" s="5"/>
      <c r="U40" s="5"/>
      <c r="V40" s="5"/>
      <c r="W40" s="5"/>
    </row>
    <row r="41" spans="3:23" x14ac:dyDescent="0.35">
      <c r="C41" s="3" t="s">
        <v>7</v>
      </c>
      <c r="D41" s="4">
        <f>-(D28/D27)</f>
        <v>0.25557257381216192</v>
      </c>
      <c r="E41" s="4">
        <f>-(E28/E27)</f>
        <v>0.24556476150353415</v>
      </c>
      <c r="F41" s="4">
        <f>-(F28/F27)</f>
        <v>0.18342180705869443</v>
      </c>
      <c r="G41" s="5">
        <v>0.16700000000000001</v>
      </c>
      <c r="H41" s="5">
        <v>0.17</v>
      </c>
      <c r="I41" s="5">
        <v>0.16900000000000001</v>
      </c>
      <c r="J41" s="4">
        <f>I41</f>
        <v>0.16900000000000001</v>
      </c>
      <c r="K41" s="4">
        <f>J41</f>
        <v>0.16900000000000001</v>
      </c>
      <c r="L41" s="4">
        <f t="shared" ref="L41:M41" si="28">K41</f>
        <v>0.16900000000000001</v>
      </c>
      <c r="M41" s="4">
        <f t="shared" si="28"/>
        <v>0.16900000000000001</v>
      </c>
      <c r="N41" s="4"/>
      <c r="P41" t="s">
        <v>56</v>
      </c>
      <c r="R41" s="5"/>
      <c r="S41" s="5"/>
      <c r="T41" s="5"/>
      <c r="U41" s="5"/>
      <c r="V41" s="5"/>
      <c r="W41" s="5"/>
    </row>
    <row r="42" spans="3:23" x14ac:dyDescent="0.35">
      <c r="C42" s="3"/>
      <c r="G42" s="43"/>
    </row>
  </sheetData>
  <conditionalFormatting sqref="C40">
    <cfRule type="expression" dxfId="0" priority="1">
      <formula>#REF!=$C40</formula>
    </cfRule>
  </conditionalFormatting>
  <dataValidations count="3">
    <dataValidation type="list" allowBlank="1" showInputMessage="1" showErrorMessage="1" sqref="C3" xr:uid="{289EF65C-7812-4066-8344-5A674129D9F2}">
      <formula1>"$ bns except per share, $ mm except per share,$ in thousands except per share"</formula1>
    </dataValidation>
    <dataValidation type="list" allowBlank="1" showInputMessage="1" showErrorMessage="1" sqref="D10" xr:uid="{3D39C196-8954-4638-BD89-D6B36741E3FD}">
      <formula1>$C$181:$C$183</formula1>
    </dataValidation>
    <dataValidation type="list" allowBlank="1" showInputMessage="1" showErrorMessage="1" sqref="D7" xr:uid="{49857410-4AB2-42C1-B5EC-C2D459C43203}">
      <formula1>"0,1"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ChargeHelp Example</vt:lpstr>
      <vt:lpstr>Price</vt:lpstr>
      <vt:lpstr>Aid</vt:lpstr>
      <vt:lpstr>RevnueDrivers&gt;&gt;</vt:lpstr>
      <vt:lpstr>ChurnMatrix</vt:lpstr>
      <vt:lpstr>Head Count</vt:lpstr>
      <vt:lpstr>GrowthForecast</vt:lpstr>
      <vt:lpstr>Sheet6</vt:lpstr>
      <vt:lpstr>Cost&gt;&gt;&gt;</vt:lpstr>
      <vt:lpstr>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Afolabi Isiaka</dc:creator>
  <cp:lastModifiedBy>Afolabi Isiaka</cp:lastModifiedBy>
  <dcterms:created xsi:type="dcterms:W3CDTF">2015-06-05T18:17:20Z</dcterms:created>
  <dcterms:modified xsi:type="dcterms:W3CDTF">2025-07-17T00:23:57Z</dcterms:modified>
</cp:coreProperties>
</file>