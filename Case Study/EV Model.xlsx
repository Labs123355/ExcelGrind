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https://eipny-my.sharepoint.com/personal/isiaka_energyimpactpartners_com/Documents/Training/Financial Modelling/Case Study/"/>
    </mc:Choice>
  </mc:AlternateContent>
  <xr:revisionPtr revIDLastSave="918" documentId="11_F25DC773A252ABDACC104857319F7B025ADE58ED" xr6:coauthVersionLast="47" xr6:coauthVersionMax="47" xr10:uidLastSave="{389FF8F7-35B7-46EA-BC32-BA1AAB44259E}"/>
  <bookViews>
    <workbookView xWindow="-110" yWindow="-110" windowWidth="19420" windowHeight="11500" activeTab="2" xr2:uid="{00000000-000D-0000-FFFF-FFFF00000000}"/>
  </bookViews>
  <sheets>
    <sheet name="Price" sheetId="1" r:id="rId1"/>
    <sheet name="Aid" sheetId="2" r:id="rId2"/>
    <sheet name="AttrtionMatrix" sheetId="5" r:id="rId3"/>
    <sheet name="RevBuild" sheetId="3" r:id="rId4"/>
    <sheet name="Sheet3" sheetId="4" r:id="rId5"/>
  </sheets>
  <calcPr calcId="191029" iterate="1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3" i="5" l="1"/>
  <c r="I16" i="5"/>
  <c r="H16" i="5"/>
  <c r="G16" i="5"/>
  <c r="F16" i="5"/>
  <c r="E16" i="5"/>
  <c r="D16" i="5"/>
  <c r="D14" i="3"/>
  <c r="D12" i="3"/>
  <c r="M28" i="3"/>
  <c r="L28" i="3"/>
  <c r="M27" i="3"/>
  <c r="L27" i="3"/>
  <c r="M41" i="4"/>
  <c r="L41" i="4"/>
  <c r="M40" i="4"/>
  <c r="L40" i="4"/>
  <c r="M39" i="4"/>
  <c r="L39" i="4"/>
  <c r="M38" i="4"/>
  <c r="L38" i="4"/>
  <c r="M37" i="4"/>
  <c r="L37" i="4"/>
  <c r="L33" i="4"/>
  <c r="M33" i="4" s="1"/>
  <c r="M31" i="4"/>
  <c r="L31" i="4"/>
  <c r="M26" i="4"/>
  <c r="L26" i="4"/>
  <c r="M25" i="4"/>
  <c r="L25" i="4"/>
  <c r="M24" i="4"/>
  <c r="L24" i="4"/>
  <c r="L18" i="4"/>
  <c r="L22" i="4" s="1"/>
  <c r="M16" i="4"/>
  <c r="L16" i="4"/>
  <c r="M15" i="4"/>
  <c r="L15" i="4"/>
  <c r="M81" i="3"/>
  <c r="L81" i="3"/>
  <c r="M80" i="3"/>
  <c r="L80" i="3"/>
  <c r="M79" i="3"/>
  <c r="L79" i="3"/>
  <c r="M76" i="3"/>
  <c r="L76" i="3"/>
  <c r="M75" i="3"/>
  <c r="L75" i="3"/>
  <c r="M74" i="3"/>
  <c r="L74" i="3"/>
  <c r="M71" i="3"/>
  <c r="L71" i="3"/>
  <c r="M70" i="3"/>
  <c r="L70" i="3"/>
  <c r="M69" i="3"/>
  <c r="L69" i="3"/>
  <c r="C74" i="5"/>
  <c r="C75" i="5" s="1"/>
  <c r="D73" i="5"/>
  <c r="C46" i="5"/>
  <c r="C47" i="5" s="1"/>
  <c r="C17" i="5"/>
  <c r="C18" i="5" s="1"/>
  <c r="D18" i="5" s="1"/>
  <c r="E9" i="5"/>
  <c r="E17" i="5" s="1"/>
  <c r="E1" i="5"/>
  <c r="F1" i="5" s="1"/>
  <c r="G1" i="5" s="1"/>
  <c r="H1" i="5" s="1"/>
  <c r="I1" i="5" s="1"/>
  <c r="D31" i="3"/>
  <c r="E31" i="3" s="1"/>
  <c r="F31" i="3" s="1"/>
  <c r="G31" i="3" s="1"/>
  <c r="H31" i="3" s="1"/>
  <c r="I31" i="3" s="1"/>
  <c r="J31" i="3" s="1"/>
  <c r="K31" i="3" s="1"/>
  <c r="L31" i="3" s="1"/>
  <c r="M31" i="3" s="1"/>
  <c r="C45" i="3"/>
  <c r="C44" i="3"/>
  <c r="E74" i="3"/>
  <c r="D29" i="3"/>
  <c r="C43" i="3"/>
  <c r="E23" i="3"/>
  <c r="C7" i="2"/>
  <c r="C12" i="2"/>
  <c r="C16" i="2" s="1"/>
  <c r="C11" i="2"/>
  <c r="D17" i="5" l="1"/>
  <c r="E18" i="5"/>
  <c r="D75" i="5"/>
  <c r="C76" i="5"/>
  <c r="C19" i="5"/>
  <c r="D74" i="5"/>
  <c r="M18" i="4"/>
  <c r="L20" i="4"/>
  <c r="L21" i="4"/>
  <c r="C48" i="5"/>
  <c r="E74" i="5"/>
  <c r="E75" i="5"/>
  <c r="F9" i="5"/>
  <c r="D33" i="3"/>
  <c r="D34" i="3" s="1"/>
  <c r="F18" i="5" l="1"/>
  <c r="F17" i="5"/>
  <c r="F19" i="5"/>
  <c r="E19" i="5"/>
  <c r="D19" i="5"/>
  <c r="C20" i="5"/>
  <c r="F20" i="5" s="1"/>
  <c r="C77" i="5"/>
  <c r="F77" i="5" s="1"/>
  <c r="D76" i="5"/>
  <c r="E76" i="5"/>
  <c r="L23" i="4"/>
  <c r="L19" i="4"/>
  <c r="M22" i="4"/>
  <c r="M21" i="4"/>
  <c r="M20" i="4"/>
  <c r="D36" i="3"/>
  <c r="D43" i="3" s="1"/>
  <c r="D11" i="5"/>
  <c r="F75" i="5"/>
  <c r="G9" i="5"/>
  <c r="F76" i="5"/>
  <c r="C49" i="5"/>
  <c r="F45" i="5" l="1"/>
  <c r="D45" i="5"/>
  <c r="E45" i="5"/>
  <c r="G18" i="5"/>
  <c r="G19" i="5"/>
  <c r="G17" i="5"/>
  <c r="G20" i="5"/>
  <c r="C21" i="5"/>
  <c r="D20" i="5"/>
  <c r="E20" i="5"/>
  <c r="C22" i="5"/>
  <c r="C78" i="5"/>
  <c r="G78" i="5" s="1"/>
  <c r="D77" i="5"/>
  <c r="E77" i="5"/>
  <c r="M23" i="4"/>
  <c r="M19" i="4"/>
  <c r="L27" i="4"/>
  <c r="L32" i="4"/>
  <c r="L34" i="4" s="1"/>
  <c r="D13" i="5"/>
  <c r="C50" i="5"/>
  <c r="G45" i="5"/>
  <c r="G73" i="5" s="1"/>
  <c r="G77" i="5"/>
  <c r="H9" i="5"/>
  <c r="G76" i="5"/>
  <c r="D22" i="5" l="1"/>
  <c r="E22" i="5"/>
  <c r="F22" i="5"/>
  <c r="E21" i="5"/>
  <c r="D21" i="5"/>
  <c r="F21" i="5"/>
  <c r="G22" i="5"/>
  <c r="G21" i="5"/>
  <c r="H19" i="5"/>
  <c r="H20" i="5"/>
  <c r="H22" i="5"/>
  <c r="H21" i="5"/>
  <c r="H17" i="5"/>
  <c r="H18" i="5"/>
  <c r="C23" i="5"/>
  <c r="H23" i="5" s="1"/>
  <c r="C79" i="5"/>
  <c r="H79" i="5" s="1"/>
  <c r="D78" i="5"/>
  <c r="E78" i="5"/>
  <c r="F78" i="5"/>
  <c r="E73" i="5"/>
  <c r="L28" i="4"/>
  <c r="L29" i="4" s="1"/>
  <c r="M32" i="4"/>
  <c r="M34" i="4" s="1"/>
  <c r="M27" i="4"/>
  <c r="F73" i="5"/>
  <c r="H77" i="5"/>
  <c r="I9" i="5"/>
  <c r="H78" i="5"/>
  <c r="H45" i="5"/>
  <c r="H73" i="5" s="1"/>
  <c r="C51" i="5"/>
  <c r="D23" i="5" l="1"/>
  <c r="E23" i="5"/>
  <c r="F23" i="5"/>
  <c r="G23" i="5"/>
  <c r="C24" i="5"/>
  <c r="I21" i="5"/>
  <c r="I22" i="5"/>
  <c r="I24" i="5"/>
  <c r="I19" i="5"/>
  <c r="I20" i="5"/>
  <c r="I23" i="5"/>
  <c r="I17" i="5"/>
  <c r="I18" i="5"/>
  <c r="D79" i="5"/>
  <c r="C80" i="5"/>
  <c r="I80" i="5" s="1"/>
  <c r="E79" i="5"/>
  <c r="F79" i="5"/>
  <c r="G79" i="5"/>
  <c r="M28" i="4"/>
  <c r="M29" i="4" s="1"/>
  <c r="C52" i="5"/>
  <c r="I79" i="5"/>
  <c r="I78" i="5"/>
  <c r="J9" i="5"/>
  <c r="I45" i="5"/>
  <c r="I73" i="5" s="1"/>
  <c r="J24" i="5" l="1"/>
  <c r="J18" i="5"/>
  <c r="J20" i="5"/>
  <c r="J23" i="5"/>
  <c r="J21" i="5"/>
  <c r="J17" i="5"/>
  <c r="J22" i="5"/>
  <c r="J19" i="5"/>
  <c r="D24" i="5"/>
  <c r="E24" i="5"/>
  <c r="F24" i="5"/>
  <c r="G24" i="5"/>
  <c r="H24" i="5"/>
  <c r="C25" i="5"/>
  <c r="C26" i="5" s="1"/>
  <c r="E80" i="5"/>
  <c r="C81" i="5"/>
  <c r="J81" i="5" s="1"/>
  <c r="F80" i="5"/>
  <c r="D80" i="5"/>
  <c r="G80" i="5"/>
  <c r="H80" i="5"/>
  <c r="J73" i="5"/>
  <c r="J80" i="5"/>
  <c r="K9" i="5"/>
  <c r="J45" i="5"/>
  <c r="J79" i="5"/>
  <c r="C53" i="5"/>
  <c r="D26" i="5" l="1"/>
  <c r="E26" i="5"/>
  <c r="F26" i="5"/>
  <c r="G26" i="5"/>
  <c r="H26" i="5"/>
  <c r="I26" i="5"/>
  <c r="J26" i="5"/>
  <c r="K22" i="5"/>
  <c r="K24" i="5"/>
  <c r="K20" i="5"/>
  <c r="K25" i="5"/>
  <c r="K21" i="5"/>
  <c r="K17" i="5"/>
  <c r="K26" i="5"/>
  <c r="K18" i="5"/>
  <c r="K27" i="5"/>
  <c r="K23" i="5"/>
  <c r="K19" i="5"/>
  <c r="D25" i="5"/>
  <c r="E25" i="5"/>
  <c r="F25" i="5"/>
  <c r="G25" i="5"/>
  <c r="H25" i="5"/>
  <c r="I25" i="5"/>
  <c r="J25" i="5"/>
  <c r="F81" i="5"/>
  <c r="C82" i="5"/>
  <c r="K82" i="5" s="1"/>
  <c r="D81" i="5"/>
  <c r="E81" i="5"/>
  <c r="G81" i="5"/>
  <c r="H81" i="5"/>
  <c r="I81" i="5"/>
  <c r="C27" i="5"/>
  <c r="K81" i="5"/>
  <c r="K80" i="5"/>
  <c r="K74" i="5"/>
  <c r="K73" i="5"/>
  <c r="L9" i="5"/>
  <c r="K45" i="5"/>
  <c r="C54" i="5"/>
  <c r="L24" i="5" l="1"/>
  <c r="L20" i="5"/>
  <c r="L26" i="5"/>
  <c r="L22" i="5"/>
  <c r="L18" i="5"/>
  <c r="L27" i="5"/>
  <c r="L25" i="5"/>
  <c r="L23" i="5"/>
  <c r="L21" i="5"/>
  <c r="L19" i="5"/>
  <c r="L17" i="5"/>
  <c r="D27" i="5"/>
  <c r="E27" i="5"/>
  <c r="F27" i="5"/>
  <c r="G27" i="5"/>
  <c r="H27" i="5"/>
  <c r="I27" i="5"/>
  <c r="J27" i="5"/>
  <c r="H82" i="5"/>
  <c r="F82" i="5"/>
  <c r="G82" i="5"/>
  <c r="C83" i="5"/>
  <c r="L83" i="5" s="1"/>
  <c r="D82" i="5"/>
  <c r="E82" i="5"/>
  <c r="I82" i="5"/>
  <c r="J82" i="5"/>
  <c r="L74" i="5"/>
  <c r="L81" i="5"/>
  <c r="M9" i="5"/>
  <c r="L73" i="5"/>
  <c r="L45" i="5"/>
  <c r="L75" i="5"/>
  <c r="L82" i="5"/>
  <c r="C55" i="5"/>
  <c r="C28" i="5"/>
  <c r="D28" i="5" l="1"/>
  <c r="E28" i="5"/>
  <c r="F28" i="5"/>
  <c r="G28" i="5"/>
  <c r="H28" i="5"/>
  <c r="I28" i="5"/>
  <c r="J28" i="5"/>
  <c r="K28" i="5"/>
  <c r="L28" i="5"/>
  <c r="M28" i="5"/>
  <c r="M26" i="5"/>
  <c r="M55" i="5" s="1"/>
  <c r="M24" i="5"/>
  <c r="M22" i="5"/>
  <c r="M18" i="5"/>
  <c r="M20" i="5"/>
  <c r="M29" i="5"/>
  <c r="M27" i="5"/>
  <c r="M25" i="5"/>
  <c r="M23" i="5"/>
  <c r="M21" i="5"/>
  <c r="M19" i="5"/>
  <c r="M17" i="5"/>
  <c r="H83" i="5"/>
  <c r="C84" i="5"/>
  <c r="M84" i="5" s="1"/>
  <c r="D83" i="5"/>
  <c r="E83" i="5"/>
  <c r="F83" i="5"/>
  <c r="G83" i="5"/>
  <c r="I83" i="5"/>
  <c r="J83" i="5"/>
  <c r="K83" i="5"/>
  <c r="C29" i="5"/>
  <c r="D55" i="5"/>
  <c r="C56" i="5"/>
  <c r="E55" i="5"/>
  <c r="F55" i="5"/>
  <c r="G55" i="5"/>
  <c r="H55" i="5"/>
  <c r="I55" i="5"/>
  <c r="J55" i="5"/>
  <c r="K55" i="5"/>
  <c r="M76" i="5"/>
  <c r="M74" i="5"/>
  <c r="M73" i="5"/>
  <c r="M82" i="5"/>
  <c r="M75" i="5"/>
  <c r="M83" i="5"/>
  <c r="M45" i="5"/>
  <c r="D29" i="5" l="1"/>
  <c r="E29" i="5"/>
  <c r="F29" i="5"/>
  <c r="G29" i="5"/>
  <c r="H29" i="5"/>
  <c r="I29" i="5"/>
  <c r="J29" i="5"/>
  <c r="K29" i="5"/>
  <c r="L29" i="5"/>
  <c r="I84" i="5"/>
  <c r="E84" i="5"/>
  <c r="F84" i="5"/>
  <c r="G84" i="5"/>
  <c r="J84" i="5"/>
  <c r="C85" i="5"/>
  <c r="D84" i="5"/>
  <c r="H84" i="5"/>
  <c r="K84" i="5"/>
  <c r="L84" i="5"/>
  <c r="C57" i="5"/>
  <c r="D56" i="5"/>
  <c r="E56" i="5"/>
  <c r="F56" i="5"/>
  <c r="G56" i="5"/>
  <c r="H56" i="5"/>
  <c r="I56" i="5"/>
  <c r="J56" i="5"/>
  <c r="K56" i="5"/>
  <c r="L56" i="5"/>
  <c r="L55" i="5"/>
  <c r="C30" i="5"/>
  <c r="D30" i="5" l="1"/>
  <c r="E30" i="5"/>
  <c r="F30" i="5"/>
  <c r="G30" i="5"/>
  <c r="H30" i="5"/>
  <c r="I30" i="5"/>
  <c r="J30" i="5"/>
  <c r="K30" i="5"/>
  <c r="L30" i="5"/>
  <c r="M30" i="5"/>
  <c r="J85" i="5"/>
  <c r="G85" i="5"/>
  <c r="H85" i="5"/>
  <c r="C86" i="5"/>
  <c r="D85" i="5"/>
  <c r="I85" i="5"/>
  <c r="K85" i="5"/>
  <c r="E85" i="5"/>
  <c r="F85" i="5"/>
  <c r="L85" i="5"/>
  <c r="M85" i="5"/>
  <c r="C31" i="5"/>
  <c r="C58" i="5"/>
  <c r="D57" i="5"/>
  <c r="E57" i="5"/>
  <c r="F57" i="5"/>
  <c r="H57" i="5"/>
  <c r="I57" i="5"/>
  <c r="J57" i="5"/>
  <c r="K57" i="5"/>
  <c r="L57" i="5"/>
  <c r="M57" i="5"/>
  <c r="G57" i="5"/>
  <c r="M56" i="5"/>
  <c r="D31" i="5" l="1"/>
  <c r="E31" i="5"/>
  <c r="F31" i="5"/>
  <c r="G31" i="5"/>
  <c r="H31" i="5"/>
  <c r="I31" i="5"/>
  <c r="J31" i="5"/>
  <c r="K31" i="5"/>
  <c r="L31" i="5"/>
  <c r="M31" i="5"/>
  <c r="D86" i="5"/>
  <c r="J86" i="5"/>
  <c r="C87" i="5"/>
  <c r="G86" i="5"/>
  <c r="I86" i="5"/>
  <c r="H86" i="5"/>
  <c r="E86" i="5"/>
  <c r="F86" i="5"/>
  <c r="L86" i="5"/>
  <c r="K86" i="5"/>
  <c r="M86" i="5"/>
  <c r="C32" i="5"/>
  <c r="E58" i="5"/>
  <c r="C59" i="5"/>
  <c r="I58" i="5"/>
  <c r="J58" i="5"/>
  <c r="K58" i="5"/>
  <c r="L58" i="5"/>
  <c r="M58" i="5"/>
  <c r="D32" i="5" l="1"/>
  <c r="E32" i="5"/>
  <c r="F32" i="5"/>
  <c r="G32" i="5"/>
  <c r="H32" i="5"/>
  <c r="I32" i="5"/>
  <c r="J32" i="5"/>
  <c r="K32" i="5"/>
  <c r="L32" i="5"/>
  <c r="M32" i="5"/>
  <c r="L87" i="5"/>
  <c r="D87" i="5"/>
  <c r="M87" i="5"/>
  <c r="C88" i="5"/>
  <c r="E87" i="5"/>
  <c r="H87" i="5"/>
  <c r="K87" i="5"/>
  <c r="F87" i="5"/>
  <c r="G87" i="5"/>
  <c r="I87" i="5"/>
  <c r="J87" i="5"/>
  <c r="H58" i="5"/>
  <c r="F58" i="5"/>
  <c r="C60" i="5"/>
  <c r="M59" i="5"/>
  <c r="F59" i="5"/>
  <c r="G58" i="5"/>
  <c r="C33" i="5"/>
  <c r="D58" i="5"/>
  <c r="D33" i="5" l="1"/>
  <c r="E33" i="5"/>
  <c r="F33" i="5"/>
  <c r="G33" i="5"/>
  <c r="H33" i="5"/>
  <c r="I33" i="5"/>
  <c r="J33" i="5"/>
  <c r="K33" i="5"/>
  <c r="L33" i="5"/>
  <c r="M33" i="5"/>
  <c r="M88" i="5"/>
  <c r="L88" i="5"/>
  <c r="D88" i="5"/>
  <c r="C89" i="5"/>
  <c r="E88" i="5"/>
  <c r="F88" i="5"/>
  <c r="H88" i="5"/>
  <c r="I88" i="5"/>
  <c r="J88" i="5"/>
  <c r="G88" i="5"/>
  <c r="K88" i="5"/>
  <c r="C34" i="5"/>
  <c r="K59" i="5"/>
  <c r="H59" i="5"/>
  <c r="G59" i="5"/>
  <c r="E59" i="5"/>
  <c r="C61" i="5"/>
  <c r="G60" i="5"/>
  <c r="H60" i="5"/>
  <c r="I60" i="5"/>
  <c r="J60" i="5"/>
  <c r="K60" i="5"/>
  <c r="L60" i="5"/>
  <c r="M60" i="5"/>
  <c r="D59" i="5"/>
  <c r="L59" i="5"/>
  <c r="J59" i="5"/>
  <c r="I59" i="5"/>
  <c r="D34" i="5" l="1"/>
  <c r="E34" i="5"/>
  <c r="F34" i="5"/>
  <c r="G34" i="5"/>
  <c r="H34" i="5"/>
  <c r="I34" i="5"/>
  <c r="J34" i="5"/>
  <c r="K34" i="5"/>
  <c r="L34" i="5"/>
  <c r="M34" i="5"/>
  <c r="L89" i="5"/>
  <c r="D89" i="5"/>
  <c r="J89" i="5"/>
  <c r="K89" i="5"/>
  <c r="M89" i="5"/>
  <c r="C90" i="5"/>
  <c r="E89" i="5"/>
  <c r="G89" i="5"/>
  <c r="I89" i="5"/>
  <c r="F89" i="5"/>
  <c r="H89" i="5"/>
  <c r="F60" i="5"/>
  <c r="E60" i="5"/>
  <c r="D60" i="5"/>
  <c r="C62" i="5"/>
  <c r="E61" i="5"/>
  <c r="F61" i="5"/>
  <c r="G61" i="5"/>
  <c r="H61" i="5"/>
  <c r="I61" i="5"/>
  <c r="J61" i="5"/>
  <c r="C35" i="5"/>
  <c r="D35" i="5" l="1"/>
  <c r="E35" i="5"/>
  <c r="F35" i="5"/>
  <c r="G35" i="5"/>
  <c r="H35" i="5"/>
  <c r="I35" i="5"/>
  <c r="J35" i="5"/>
  <c r="K35" i="5"/>
  <c r="L35" i="5"/>
  <c r="M35" i="5"/>
  <c r="D90" i="5"/>
  <c r="F90" i="5"/>
  <c r="K90" i="5"/>
  <c r="L90" i="5"/>
  <c r="E90" i="5"/>
  <c r="G90" i="5"/>
  <c r="H90" i="5"/>
  <c r="I90" i="5"/>
  <c r="J90" i="5"/>
  <c r="M90" i="5"/>
  <c r="C91" i="5"/>
  <c r="C63" i="5"/>
  <c r="G62" i="5"/>
  <c r="H62" i="5"/>
  <c r="I62" i="5"/>
  <c r="J62" i="5"/>
  <c r="L62" i="5"/>
  <c r="M62" i="5"/>
  <c r="K62" i="5"/>
  <c r="D61" i="5"/>
  <c r="C36" i="5"/>
  <c r="M61" i="5"/>
  <c r="L61" i="5"/>
  <c r="K61" i="5"/>
  <c r="D36" i="5" l="1"/>
  <c r="E36" i="5"/>
  <c r="F36" i="5"/>
  <c r="G36" i="5"/>
  <c r="H36" i="5"/>
  <c r="I36" i="5"/>
  <c r="J36" i="5"/>
  <c r="K36" i="5"/>
  <c r="L36" i="5"/>
  <c r="M36" i="5"/>
  <c r="D91" i="5"/>
  <c r="J91" i="5"/>
  <c r="K91" i="5"/>
  <c r="L91" i="5"/>
  <c r="E91" i="5"/>
  <c r="F91" i="5"/>
  <c r="G91" i="5"/>
  <c r="C92" i="5"/>
  <c r="H91" i="5"/>
  <c r="I91" i="5"/>
  <c r="M91" i="5"/>
  <c r="F62" i="5"/>
  <c r="E62" i="5"/>
  <c r="D62" i="5"/>
  <c r="C37" i="5"/>
  <c r="D63" i="5"/>
  <c r="C64" i="5"/>
  <c r="E63" i="5"/>
  <c r="F63" i="5"/>
  <c r="G63" i="5"/>
  <c r="H63" i="5"/>
  <c r="D37" i="5" l="1"/>
  <c r="E37" i="5"/>
  <c r="F37" i="5"/>
  <c r="G37" i="5"/>
  <c r="H37" i="5"/>
  <c r="I37" i="5"/>
  <c r="J37" i="5"/>
  <c r="K37" i="5"/>
  <c r="L37" i="5"/>
  <c r="M37" i="5"/>
  <c r="E92" i="5"/>
  <c r="M92" i="5"/>
  <c r="C93" i="5"/>
  <c r="D92" i="5"/>
  <c r="H92" i="5"/>
  <c r="I92" i="5"/>
  <c r="K92" i="5"/>
  <c r="L92" i="5"/>
  <c r="F92" i="5"/>
  <c r="G92" i="5"/>
  <c r="J92" i="5"/>
  <c r="C65" i="5"/>
  <c r="H64" i="5"/>
  <c r="I64" i="5"/>
  <c r="M64" i="5"/>
  <c r="C38" i="5"/>
  <c r="L63" i="5"/>
  <c r="M63" i="5"/>
  <c r="K63" i="5"/>
  <c r="J63" i="5"/>
  <c r="I63" i="5"/>
  <c r="D38" i="5" l="1"/>
  <c r="E38" i="5"/>
  <c r="F38" i="5"/>
  <c r="G38" i="5"/>
  <c r="H38" i="5"/>
  <c r="I38" i="5"/>
  <c r="J38" i="5"/>
  <c r="K38" i="5"/>
  <c r="L38" i="5"/>
  <c r="M38" i="5"/>
  <c r="L93" i="5"/>
  <c r="M93" i="5"/>
  <c r="G93" i="5"/>
  <c r="H93" i="5"/>
  <c r="K93" i="5"/>
  <c r="F93" i="5"/>
  <c r="J93" i="5"/>
  <c r="C94" i="5"/>
  <c r="D93" i="5"/>
  <c r="E93" i="5"/>
  <c r="I93" i="5"/>
  <c r="C39" i="5"/>
  <c r="L64" i="5"/>
  <c r="K64" i="5"/>
  <c r="J64" i="5"/>
  <c r="G64" i="5"/>
  <c r="F64" i="5"/>
  <c r="E64" i="5"/>
  <c r="D65" i="5"/>
  <c r="C66" i="5"/>
  <c r="D64" i="5"/>
  <c r="D39" i="5" l="1"/>
  <c r="E39" i="5"/>
  <c r="F39" i="5"/>
  <c r="G39" i="5"/>
  <c r="H39" i="5"/>
  <c r="I39" i="5"/>
  <c r="J39" i="5"/>
  <c r="K39" i="5"/>
  <c r="L39" i="5"/>
  <c r="M39" i="5"/>
  <c r="I94" i="5"/>
  <c r="J94" i="5"/>
  <c r="K94" i="5"/>
  <c r="M94" i="5"/>
  <c r="F94" i="5"/>
  <c r="G94" i="5"/>
  <c r="H94" i="5"/>
  <c r="L94" i="5"/>
  <c r="D94" i="5"/>
  <c r="C95" i="5"/>
  <c r="E94" i="5"/>
  <c r="J66" i="5"/>
  <c r="M65" i="5"/>
  <c r="K65" i="5"/>
  <c r="I65" i="5"/>
  <c r="H65" i="5"/>
  <c r="G65" i="5"/>
  <c r="F65" i="5"/>
  <c r="E65" i="5"/>
  <c r="L65" i="5"/>
  <c r="J65" i="5"/>
  <c r="D66" i="5"/>
  <c r="C67" i="5"/>
  <c r="E66" i="5"/>
  <c r="K66" i="5"/>
  <c r="L66" i="5"/>
  <c r="M66" i="5"/>
  <c r="I95" i="5" l="1"/>
  <c r="K95" i="5"/>
  <c r="M95" i="5"/>
  <c r="E95" i="5"/>
  <c r="F95" i="5"/>
  <c r="H95" i="5"/>
  <c r="J95" i="5"/>
  <c r="L95" i="5"/>
  <c r="D95" i="5"/>
  <c r="G95" i="5"/>
  <c r="C96" i="5"/>
  <c r="C68" i="5"/>
  <c r="E67" i="5"/>
  <c r="I66" i="5"/>
  <c r="H66" i="5"/>
  <c r="G66" i="5"/>
  <c r="F66" i="5"/>
  <c r="F29" i="3"/>
  <c r="G29" i="3" s="1"/>
  <c r="E29" i="3"/>
  <c r="J41" i="4"/>
  <c r="K41" i="4" s="1"/>
  <c r="K40" i="4"/>
  <c r="J40" i="4"/>
  <c r="I40" i="4"/>
  <c r="H40" i="4"/>
  <c r="G40" i="4"/>
  <c r="F40" i="4"/>
  <c r="E40" i="4"/>
  <c r="D40" i="4"/>
  <c r="K39" i="4"/>
  <c r="J39" i="4"/>
  <c r="I39" i="4"/>
  <c r="H39" i="4"/>
  <c r="G39" i="4"/>
  <c r="F39" i="4"/>
  <c r="E39" i="4"/>
  <c r="D39" i="4"/>
  <c r="K38" i="4"/>
  <c r="J38" i="4"/>
  <c r="I38" i="4"/>
  <c r="H38" i="4"/>
  <c r="G38" i="4"/>
  <c r="K37" i="4"/>
  <c r="J37" i="4"/>
  <c r="I37" i="4"/>
  <c r="H37" i="4"/>
  <c r="G37" i="4"/>
  <c r="G33" i="4" s="1"/>
  <c r="F37" i="4"/>
  <c r="E37" i="4"/>
  <c r="K31" i="4"/>
  <c r="J31" i="4"/>
  <c r="I31" i="4"/>
  <c r="H31" i="4"/>
  <c r="G31" i="4"/>
  <c r="G26" i="4"/>
  <c r="H26" i="4" s="1"/>
  <c r="I26" i="4" s="1"/>
  <c r="J26" i="4" s="1"/>
  <c r="K26" i="4" s="1"/>
  <c r="K25" i="4"/>
  <c r="J25" i="4"/>
  <c r="I25" i="4"/>
  <c r="H25" i="4"/>
  <c r="G25" i="4"/>
  <c r="K24" i="4"/>
  <c r="J24" i="4"/>
  <c r="I24" i="4"/>
  <c r="H24" i="4"/>
  <c r="G24" i="4"/>
  <c r="F20" i="4"/>
  <c r="F23" i="4" s="1"/>
  <c r="E20" i="4"/>
  <c r="E23" i="4" s="1"/>
  <c r="D20" i="4"/>
  <c r="D23" i="4" s="1"/>
  <c r="F16" i="4"/>
  <c r="E16" i="4" s="1"/>
  <c r="D16" i="4" s="1"/>
  <c r="D28" i="3" s="1"/>
  <c r="F15" i="4"/>
  <c r="G15" i="4" s="1"/>
  <c r="H15" i="4" s="1"/>
  <c r="I15" i="4" s="1"/>
  <c r="J15" i="4" s="1"/>
  <c r="K15" i="4" s="1"/>
  <c r="K27" i="3" s="1"/>
  <c r="C2" i="4"/>
  <c r="H83" i="3"/>
  <c r="I83" i="3" s="1"/>
  <c r="G83" i="3"/>
  <c r="F83" i="3"/>
  <c r="E83" i="3"/>
  <c r="H82" i="3"/>
  <c r="I82" i="3" s="1"/>
  <c r="G82" i="3"/>
  <c r="F82" i="3"/>
  <c r="E82" i="3"/>
  <c r="K76" i="3"/>
  <c r="J76" i="3"/>
  <c r="I76" i="3"/>
  <c r="H76" i="3"/>
  <c r="K75" i="3"/>
  <c r="J75" i="3"/>
  <c r="I75" i="3"/>
  <c r="H75" i="3"/>
  <c r="K74" i="3"/>
  <c r="J74" i="3"/>
  <c r="I74" i="3"/>
  <c r="H74" i="3"/>
  <c r="G76" i="3"/>
  <c r="G75" i="3"/>
  <c r="G74" i="3"/>
  <c r="C4" i="1"/>
  <c r="M96" i="5" l="1"/>
  <c r="D96" i="5"/>
  <c r="D98" i="5" s="1"/>
  <c r="F96" i="5"/>
  <c r="G96" i="5"/>
  <c r="H96" i="5"/>
  <c r="I96" i="5"/>
  <c r="E96" i="5"/>
  <c r="E98" i="5" s="1"/>
  <c r="E39" i="3" s="1"/>
  <c r="J96" i="5"/>
  <c r="K96" i="5"/>
  <c r="L96" i="5"/>
  <c r="J27" i="3"/>
  <c r="H33" i="4"/>
  <c r="I33" i="4" s="1"/>
  <c r="J33" i="4"/>
  <c r="E15" i="4"/>
  <c r="H27" i="3"/>
  <c r="I27" i="3"/>
  <c r="L67" i="5"/>
  <c r="K67" i="5"/>
  <c r="J67" i="5"/>
  <c r="G67" i="5"/>
  <c r="M67" i="5"/>
  <c r="I67" i="5"/>
  <c r="F67" i="5"/>
  <c r="D67" i="5"/>
  <c r="H67" i="5"/>
  <c r="D68" i="5"/>
  <c r="E68" i="5"/>
  <c r="F68" i="5"/>
  <c r="G68" i="5"/>
  <c r="H68" i="5"/>
  <c r="I68" i="5"/>
  <c r="J68" i="5"/>
  <c r="K68" i="5"/>
  <c r="L68" i="5"/>
  <c r="G18" i="4"/>
  <c r="G20" i="4" s="1"/>
  <c r="G19" i="4" s="1"/>
  <c r="E33" i="3"/>
  <c r="E34" i="3" s="1"/>
  <c r="F33" i="3"/>
  <c r="F34" i="3" s="1"/>
  <c r="F11" i="5" s="1"/>
  <c r="E70" i="3"/>
  <c r="F71" i="3"/>
  <c r="F80" i="3"/>
  <c r="F81" i="3"/>
  <c r="E80" i="3"/>
  <c r="F27" i="3"/>
  <c r="G27" i="3"/>
  <c r="E28" i="3"/>
  <c r="F28" i="3"/>
  <c r="F76" i="3"/>
  <c r="E75" i="3"/>
  <c r="E76" i="3"/>
  <c r="F74" i="3"/>
  <c r="D38" i="4"/>
  <c r="E38" i="4"/>
  <c r="F38" i="4"/>
  <c r="D27" i="4"/>
  <c r="D41" i="4" s="1"/>
  <c r="D32" i="4"/>
  <c r="D34" i="4" s="1"/>
  <c r="E27" i="4"/>
  <c r="E29" i="4" s="1"/>
  <c r="E32" i="4"/>
  <c r="E34" i="4" s="1"/>
  <c r="F27" i="4"/>
  <c r="F41" i="4" s="1"/>
  <c r="F32" i="4"/>
  <c r="F34" i="4" s="1"/>
  <c r="K33" i="4"/>
  <c r="D29" i="4"/>
  <c r="E41" i="4"/>
  <c r="G16" i="4"/>
  <c r="J82" i="3"/>
  <c r="K82" i="3" s="1"/>
  <c r="L82" i="3" s="1"/>
  <c r="M82" i="3" s="1"/>
  <c r="J83" i="3"/>
  <c r="K83" i="3" s="1"/>
  <c r="L83" i="3" s="1"/>
  <c r="M83" i="3" s="1"/>
  <c r="F75" i="3"/>
  <c r="D39" i="3" l="1"/>
  <c r="D100" i="5"/>
  <c r="H18" i="4"/>
  <c r="G22" i="4"/>
  <c r="G21" i="4"/>
  <c r="E47" i="5"/>
  <c r="D47" i="5"/>
  <c r="F47" i="5"/>
  <c r="G47" i="5"/>
  <c r="H47" i="5"/>
  <c r="I47" i="5"/>
  <c r="J47" i="5"/>
  <c r="K47" i="5"/>
  <c r="E11" i="5"/>
  <c r="E36" i="3"/>
  <c r="F36" i="3" s="1"/>
  <c r="M68" i="5"/>
  <c r="F29" i="4"/>
  <c r="E69" i="3"/>
  <c r="G33" i="3"/>
  <c r="G34" i="3" s="1"/>
  <c r="G11" i="5" s="1"/>
  <c r="H29" i="3"/>
  <c r="E71" i="3"/>
  <c r="G80" i="3"/>
  <c r="F69" i="3"/>
  <c r="F70" i="3"/>
  <c r="E81" i="3"/>
  <c r="E79" i="3"/>
  <c r="F79" i="3"/>
  <c r="D15" i="4"/>
  <c r="D27" i="3" s="1"/>
  <c r="E27" i="3"/>
  <c r="H16" i="4"/>
  <c r="G28" i="3"/>
  <c r="G23" i="4"/>
  <c r="G32" i="4" s="1"/>
  <c r="G34" i="4" s="1"/>
  <c r="H22" i="4"/>
  <c r="I18" i="4"/>
  <c r="H20" i="4"/>
  <c r="H21" i="4"/>
  <c r="D41" i="3" l="1"/>
  <c r="J75" i="5"/>
  <c r="H75" i="5"/>
  <c r="I75" i="5"/>
  <c r="G27" i="4"/>
  <c r="G75" i="5"/>
  <c r="K75" i="5"/>
  <c r="L47" i="5"/>
  <c r="M47" i="5" s="1"/>
  <c r="E46" i="5"/>
  <c r="D46" i="5"/>
  <c r="F46" i="5"/>
  <c r="G46" i="5"/>
  <c r="H46" i="5"/>
  <c r="I46" i="5"/>
  <c r="J46" i="5"/>
  <c r="D48" i="5"/>
  <c r="E48" i="5"/>
  <c r="F48" i="5"/>
  <c r="G48" i="5"/>
  <c r="H48" i="5"/>
  <c r="J48" i="5"/>
  <c r="I48" i="5"/>
  <c r="K48" i="5"/>
  <c r="L48" i="5"/>
  <c r="D45" i="3"/>
  <c r="D44" i="3"/>
  <c r="I29" i="3"/>
  <c r="H33" i="3"/>
  <c r="H34" i="3" s="1"/>
  <c r="G70" i="3"/>
  <c r="G81" i="3"/>
  <c r="G71" i="3"/>
  <c r="G79" i="3"/>
  <c r="G69" i="3"/>
  <c r="I16" i="4"/>
  <c r="H28" i="3"/>
  <c r="H23" i="4"/>
  <c r="H19" i="4"/>
  <c r="I22" i="4"/>
  <c r="J18" i="4"/>
  <c r="I20" i="4"/>
  <c r="I21" i="4"/>
  <c r="G28" i="4"/>
  <c r="G29" i="4" s="1"/>
  <c r="F74" i="5" l="1"/>
  <c r="F98" i="5" s="1"/>
  <c r="F39" i="3" s="1"/>
  <c r="G36" i="3" s="1"/>
  <c r="G74" i="5"/>
  <c r="G98" i="5" s="1"/>
  <c r="G39" i="3" s="1"/>
  <c r="H74" i="5"/>
  <c r="I74" i="5"/>
  <c r="J74" i="5"/>
  <c r="K46" i="5"/>
  <c r="L46" i="5" s="1"/>
  <c r="M46" i="5" s="1"/>
  <c r="E100" i="5"/>
  <c r="K76" i="5"/>
  <c r="I76" i="5"/>
  <c r="D47" i="3"/>
  <c r="H76" i="5"/>
  <c r="H98" i="5" s="1"/>
  <c r="H39" i="3" s="1"/>
  <c r="H11" i="5"/>
  <c r="L76" i="5"/>
  <c r="M48" i="5"/>
  <c r="J76" i="5"/>
  <c r="E45" i="3"/>
  <c r="E44" i="3"/>
  <c r="E43" i="3"/>
  <c r="J29" i="3"/>
  <c r="I33" i="3"/>
  <c r="I34" i="3" s="1"/>
  <c r="H69" i="3"/>
  <c r="H70" i="3"/>
  <c r="H80" i="3"/>
  <c r="H81" i="3"/>
  <c r="H71" i="3"/>
  <c r="J16" i="4"/>
  <c r="I28" i="3"/>
  <c r="H32" i="4"/>
  <c r="H34" i="4" s="1"/>
  <c r="H27" i="4"/>
  <c r="J22" i="4"/>
  <c r="K18" i="4"/>
  <c r="J20" i="4"/>
  <c r="J21" i="4"/>
  <c r="I23" i="4"/>
  <c r="I19" i="4"/>
  <c r="E41" i="3" l="1"/>
  <c r="F13" i="5"/>
  <c r="F100" i="5" s="1"/>
  <c r="F41" i="3" s="1"/>
  <c r="H36" i="3"/>
  <c r="I36" i="3" s="1"/>
  <c r="I11" i="5"/>
  <c r="G49" i="5"/>
  <c r="E49" i="5"/>
  <c r="D49" i="5"/>
  <c r="F49" i="5"/>
  <c r="H49" i="5"/>
  <c r="I49" i="5"/>
  <c r="J49" i="5"/>
  <c r="K49" i="5"/>
  <c r="L49" i="5"/>
  <c r="M49" i="5"/>
  <c r="E47" i="3"/>
  <c r="E48" i="3" s="1"/>
  <c r="F43" i="3"/>
  <c r="F45" i="3"/>
  <c r="F44" i="3"/>
  <c r="K29" i="3"/>
  <c r="J33" i="3"/>
  <c r="J34" i="3" s="1"/>
  <c r="I69" i="3"/>
  <c r="I70" i="3"/>
  <c r="I80" i="3"/>
  <c r="I81" i="3"/>
  <c r="I71" i="3"/>
  <c r="H79" i="3"/>
  <c r="K16" i="4"/>
  <c r="K28" i="3" s="1"/>
  <c r="J28" i="3"/>
  <c r="I32" i="4"/>
  <c r="I34" i="4" s="1"/>
  <c r="I27" i="4"/>
  <c r="J19" i="4"/>
  <c r="J23" i="4"/>
  <c r="K22" i="4"/>
  <c r="K20" i="4"/>
  <c r="K21" i="4"/>
  <c r="H28" i="4"/>
  <c r="H29" i="4" s="1"/>
  <c r="G13" i="5" l="1"/>
  <c r="G100" i="5" s="1"/>
  <c r="G41" i="3" s="1"/>
  <c r="K77" i="5"/>
  <c r="K33" i="3"/>
  <c r="K34" i="3" s="1"/>
  <c r="K11" i="5" s="1"/>
  <c r="H52" i="5" s="1"/>
  <c r="L29" i="3"/>
  <c r="J77" i="5"/>
  <c r="L77" i="5"/>
  <c r="I77" i="5"/>
  <c r="I98" i="5" s="1"/>
  <c r="J11" i="5"/>
  <c r="M77" i="5"/>
  <c r="F50" i="5"/>
  <c r="D50" i="5"/>
  <c r="G50" i="5"/>
  <c r="H50" i="5"/>
  <c r="E50" i="5"/>
  <c r="I50" i="5"/>
  <c r="J50" i="5"/>
  <c r="K50" i="5"/>
  <c r="L50" i="5"/>
  <c r="M50" i="5"/>
  <c r="G45" i="3"/>
  <c r="G43" i="3"/>
  <c r="G44" i="3"/>
  <c r="F47" i="3"/>
  <c r="F48" i="3" s="1"/>
  <c r="I79" i="3"/>
  <c r="J69" i="3"/>
  <c r="J80" i="3"/>
  <c r="J70" i="3"/>
  <c r="J71" i="3"/>
  <c r="J81" i="3"/>
  <c r="I28" i="4"/>
  <c r="I29" i="4" s="1"/>
  <c r="K19" i="4"/>
  <c r="K23" i="4"/>
  <c r="J32" i="4"/>
  <c r="J34" i="4" s="1"/>
  <c r="J27" i="4"/>
  <c r="H13" i="5" l="1"/>
  <c r="H100" i="5" s="1"/>
  <c r="H41" i="3" s="1"/>
  <c r="I39" i="3"/>
  <c r="J36" i="3" s="1"/>
  <c r="M52" i="5"/>
  <c r="L33" i="3"/>
  <c r="L34" i="3" s="1"/>
  <c r="L11" i="5" s="1"/>
  <c r="M29" i="3"/>
  <c r="L52" i="5"/>
  <c r="F52" i="5"/>
  <c r="D52" i="5"/>
  <c r="K52" i="5"/>
  <c r="E52" i="5"/>
  <c r="G52" i="5"/>
  <c r="J52" i="5"/>
  <c r="I52" i="5"/>
  <c r="L78" i="5"/>
  <c r="J78" i="5"/>
  <c r="J98" i="5" s="1"/>
  <c r="J39" i="3" s="1"/>
  <c r="M78" i="5"/>
  <c r="K78" i="5"/>
  <c r="H51" i="5"/>
  <c r="G51" i="5"/>
  <c r="I51" i="5"/>
  <c r="E51" i="5"/>
  <c r="D51" i="5"/>
  <c r="F51" i="5"/>
  <c r="J51" i="5"/>
  <c r="K51" i="5"/>
  <c r="L51" i="5"/>
  <c r="M51" i="5"/>
  <c r="H45" i="3"/>
  <c r="H44" i="3"/>
  <c r="H43" i="3"/>
  <c r="G47" i="3"/>
  <c r="G48" i="3" s="1"/>
  <c r="J79" i="3"/>
  <c r="K69" i="3"/>
  <c r="K80" i="3"/>
  <c r="K70" i="3"/>
  <c r="K71" i="3"/>
  <c r="K81" i="3"/>
  <c r="J28" i="4"/>
  <c r="J29" i="4" s="1"/>
  <c r="K32" i="4"/>
  <c r="K34" i="4" s="1"/>
  <c r="K27" i="4"/>
  <c r="M80" i="5" l="1"/>
  <c r="K36" i="3"/>
  <c r="I13" i="5"/>
  <c r="J13" i="5" s="1"/>
  <c r="J100" i="5" s="1"/>
  <c r="J41" i="3" s="1"/>
  <c r="K53" i="5"/>
  <c r="E53" i="5"/>
  <c r="F53" i="5"/>
  <c r="I53" i="5"/>
  <c r="G53" i="5"/>
  <c r="H53" i="5"/>
  <c r="J53" i="5"/>
  <c r="D53" i="5"/>
  <c r="L53" i="5"/>
  <c r="M53" i="5"/>
  <c r="L80" i="5"/>
  <c r="M33" i="3"/>
  <c r="M34" i="3" s="1"/>
  <c r="M11" i="5" s="1"/>
  <c r="L79" i="5"/>
  <c r="K79" i="5"/>
  <c r="K98" i="5" s="1"/>
  <c r="K39" i="3" s="1"/>
  <c r="M79" i="5"/>
  <c r="H47" i="3"/>
  <c r="H48" i="3" s="1"/>
  <c r="I45" i="3"/>
  <c r="I43" i="3"/>
  <c r="I44" i="3"/>
  <c r="K79" i="3"/>
  <c r="K28" i="4"/>
  <c r="K29" i="4" s="1"/>
  <c r="L36" i="3" l="1"/>
  <c r="L45" i="3" s="1"/>
  <c r="I100" i="5"/>
  <c r="I41" i="3" s="1"/>
  <c r="L98" i="5"/>
  <c r="L39" i="3" s="1"/>
  <c r="I54" i="5"/>
  <c r="J54" i="5"/>
  <c r="E54" i="5"/>
  <c r="G54" i="5"/>
  <c r="F54" i="5"/>
  <c r="H54" i="5"/>
  <c r="D54" i="5"/>
  <c r="L54" i="5"/>
  <c r="K54" i="5"/>
  <c r="M54" i="5"/>
  <c r="M81" i="5"/>
  <c r="M98" i="5" s="1"/>
  <c r="K13" i="5"/>
  <c r="I47" i="3"/>
  <c r="I48" i="3" s="1"/>
  <c r="J44" i="3"/>
  <c r="J43" i="3"/>
  <c r="J45" i="3"/>
  <c r="L13" i="5" l="1"/>
  <c r="L100" i="5" s="1"/>
  <c r="L41" i="3" s="1"/>
  <c r="L43" i="3"/>
  <c r="L44" i="3"/>
  <c r="M36" i="3"/>
  <c r="M43" i="3" s="1"/>
  <c r="M39" i="3"/>
  <c r="D104" i="5" a="1"/>
  <c r="D104" i="5" s="1"/>
  <c r="M13" i="5"/>
  <c r="C104" i="5" s="1" a="1"/>
  <c r="C104" i="5" s="1"/>
  <c r="M45" i="3"/>
  <c r="M44" i="3"/>
  <c r="K100" i="5"/>
  <c r="K41" i="3" s="1"/>
  <c r="J47" i="3"/>
  <c r="J48" i="3" s="1"/>
  <c r="K45" i="3"/>
  <c r="K44" i="3"/>
  <c r="K43" i="3"/>
  <c r="L47" i="3" l="1"/>
  <c r="M100" i="5"/>
  <c r="M41" i="3" s="1"/>
  <c r="E104" i="5" a="1"/>
  <c r="E104" i="5" s="1"/>
  <c r="M47" i="3"/>
  <c r="M48" i="3" s="1"/>
  <c r="K47" i="3"/>
  <c r="K48" i="3" s="1"/>
  <c r="L48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Matan Feldman</author>
  </authors>
  <commentList>
    <comment ref="C65" authorId="0" shapeId="0" xr:uid="{7698631E-3F95-4C4D-8964-5EB13FD9E543}">
      <text>
        <r>
          <rPr>
            <sz val="9"/>
            <color indexed="81"/>
            <rFont val="Tahoma"/>
            <family val="2"/>
          </rPr>
          <t xml:space="preserve">Technician Service on Vehicle </t>
        </r>
      </text>
    </comment>
    <comment ref="C70" authorId="0" shapeId="0" xr:uid="{AE4B804E-6E06-4CE2-8679-E076252AC652}">
      <text>
        <r>
          <rPr>
            <sz val="9"/>
            <color indexed="81"/>
            <rFont val="Tahoma"/>
            <family val="2"/>
          </rPr>
          <t xml:space="preserve">Technician Service on Vehicle </t>
        </r>
      </text>
    </comment>
    <comment ref="C75" authorId="0" shapeId="0" xr:uid="{49474547-02FA-4E03-8187-07B5BABE7352}">
      <text>
        <r>
          <rPr>
            <sz val="9"/>
            <color indexed="81"/>
            <rFont val="Tahoma"/>
            <family val="2"/>
          </rPr>
          <t xml:space="preserve"> Digital Content and Services, AppleCare, Apple Pay, licensing and other services. </t>
        </r>
      </text>
    </comment>
    <comment ref="C76" authorId="0" shapeId="0" xr:uid="{434BAE9F-BB04-494C-839C-8FD88E457A83}">
      <text>
        <r>
          <rPr>
            <sz val="9"/>
            <color indexed="81"/>
            <rFont val="Tahoma"/>
            <family val="2"/>
          </rPr>
          <t xml:space="preserve"> AirPods, Apple TV, Apple Watch, Beats products, HomePod, iPod touch and other Apple-branded and third-party accessories.</t>
        </r>
      </text>
    </comment>
    <comment ref="C82" authorId="0" shapeId="0" xr:uid="{9A252BF1-07F6-40A1-B2C9-FFF95AFF7C41}">
      <text>
        <r>
          <rPr>
            <sz val="9"/>
            <color indexed="81"/>
            <rFont val="Tahoma"/>
            <family val="2"/>
          </rPr>
          <t xml:space="preserve"> Digital Content and Services, AppleCare, Apple Pay, licensing and other services. </t>
        </r>
      </text>
    </comment>
    <comment ref="C83" authorId="0" shapeId="0" xr:uid="{8C8252F7-ED08-4BA2-95F6-CC1807D4B707}">
      <text>
        <r>
          <rPr>
            <sz val="9"/>
            <color indexed="81"/>
            <rFont val="Tahoma"/>
            <family val="2"/>
          </rPr>
          <t xml:space="preserve"> AirPods, Apple TV, Apple Watch, Beats products, HomePod, iPod touch and other Apple-branded and third-party accessories.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<sst xmlns="http://schemas.openxmlformats.org/spreadsheetml/2006/main" count="155" uniqueCount="125">
  <si>
    <t>Assumptions</t>
  </si>
  <si>
    <t>Potential Demand:</t>
  </si>
  <si>
    <t>existing EV owners</t>
  </si>
  <si>
    <t>Things we charge:</t>
  </si>
  <si>
    <t>Total</t>
  </si>
  <si>
    <t>Gross Profit</t>
  </si>
  <si>
    <t>Growth rates &amp; margins</t>
  </si>
  <si>
    <t>Revenue growth</t>
  </si>
  <si>
    <t>Gross profit margin</t>
  </si>
  <si>
    <t>R&amp;D % of sales</t>
  </si>
  <si>
    <t>SG&amp;A % of sales</t>
  </si>
  <si>
    <t>Tax rate</t>
  </si>
  <si>
    <t>Previous year's revenues x (1+revenue growth rate)</t>
  </si>
  <si>
    <t>Price / volume build</t>
  </si>
  <si>
    <t>iPhone</t>
  </si>
  <si>
    <t>iPad</t>
  </si>
  <si>
    <t>Mac</t>
  </si>
  <si>
    <t>Services</t>
  </si>
  <si>
    <t>CG estimates through 2020; WSP thereafter based on growth rate assumption</t>
  </si>
  <si>
    <t>Other products</t>
  </si>
  <si>
    <t>% growth</t>
  </si>
  <si>
    <t>CG estimates through 2020; Straight line therafter</t>
  </si>
  <si>
    <t>Average selling price</t>
  </si>
  <si>
    <t>Units % growth</t>
  </si>
  <si>
    <t>Average selling price % growth</t>
  </si>
  <si>
    <t>Revenue growth rate by product</t>
  </si>
  <si>
    <t>CG estimates through 2020; Straight line growth rate thereafter</t>
  </si>
  <si>
    <t>"iPhone ASP will be primary driver as Apple continues to
increase hardware prices."</t>
  </si>
  <si>
    <t>Jeffries research note January 30, 2019</t>
  </si>
  <si>
    <t>x</t>
  </si>
  <si>
    <t>$ mm except per share</t>
  </si>
  <si>
    <t>Company name</t>
  </si>
  <si>
    <t>Apple</t>
  </si>
  <si>
    <t>Ticker</t>
  </si>
  <si>
    <t>AAPL</t>
  </si>
  <si>
    <t>Circ break 1=off, 0=on</t>
  </si>
  <si>
    <t>Latest closing share price date</t>
  </si>
  <si>
    <t>Latest fiscal year end date</t>
  </si>
  <si>
    <t>Select an operating scenario:</t>
  </si>
  <si>
    <t>Base case</t>
  </si>
  <si>
    <t>INCOME STATEMENT</t>
  </si>
  <si>
    <t xml:space="preserve">Fiscal year  </t>
  </si>
  <si>
    <t>Fiscal year end date</t>
  </si>
  <si>
    <t>WSP Comments</t>
  </si>
  <si>
    <t>Revenue</t>
  </si>
  <si>
    <t>Cost of sales (enter as -)</t>
  </si>
  <si>
    <t>Plug = Revenue - Gross Profit</t>
  </si>
  <si>
    <t>Revenue x Gross Profit Margin forecast</t>
  </si>
  <si>
    <t>Research &amp; development (enter as -)</t>
  </si>
  <si>
    <t>Revenue x R&amp;D % of sales forecast</t>
  </si>
  <si>
    <t>Selling, general &amp; administrative (enter as -)</t>
  </si>
  <si>
    <t>Revenue x SG&amp;A % of sales forecast</t>
  </si>
  <si>
    <t>Operating profit (EBIT)</t>
  </si>
  <si>
    <t>Gross Profit - R&amp;D - SG&amp;A</t>
  </si>
  <si>
    <t>Interest income</t>
  </si>
  <si>
    <t>Reference from interest on cash schedule</t>
  </si>
  <si>
    <t>Interest expense (enter as -)</t>
  </si>
  <si>
    <t>Reference from interest expense schedule</t>
  </si>
  <si>
    <t>Other expense, net (enter as -)</t>
  </si>
  <si>
    <t>Straight-line</t>
  </si>
  <si>
    <t>Pretax profit</t>
  </si>
  <si>
    <t>EBIT + interest income less interest expense less other expense</t>
  </si>
  <si>
    <t>Taxes (enter expense as -)</t>
  </si>
  <si>
    <t>Pre-tax Profit x Tax Rate forecast</t>
  </si>
  <si>
    <t>Net income</t>
  </si>
  <si>
    <t>Pre-tax Profit less taxes</t>
  </si>
  <si>
    <t>Depreciation &amp; amortization</t>
  </si>
  <si>
    <t>Reference from D&amp;A schedule</t>
  </si>
  <si>
    <t>EBITDA</t>
  </si>
  <si>
    <t>EBIT + D&amp;A</t>
  </si>
  <si>
    <t>Stock based compensation</t>
  </si>
  <si>
    <t>WSP assumption: grow SBC in-line with revenue growth</t>
  </si>
  <si>
    <t>Adjusted EBITDA</t>
  </si>
  <si>
    <t>EBITDA + Stock-based compensation</t>
  </si>
  <si>
    <t>From scenario analysis below</t>
  </si>
  <si>
    <t>JP Morgan estimates through 2021: straight-line margin thereafter</t>
  </si>
  <si>
    <t>Batteries</t>
  </si>
  <si>
    <t xml:space="preserve">   Other products</t>
  </si>
  <si>
    <t>Total People who owned an EV</t>
  </si>
  <si>
    <t>What percentage of existing customers might subscribe?</t>
  </si>
  <si>
    <t>What will be the pricing strategy?</t>
  </si>
  <si>
    <t>Activation</t>
  </si>
  <si>
    <t xml:space="preserve">Using </t>
  </si>
  <si>
    <t>Total Activated</t>
  </si>
  <si>
    <t>Subscription Conversion</t>
  </si>
  <si>
    <t>Number of Free Users</t>
  </si>
  <si>
    <t>people</t>
  </si>
  <si>
    <t>Number of Subscribers</t>
  </si>
  <si>
    <t>Subscription Fee</t>
  </si>
  <si>
    <t>Users</t>
  </si>
  <si>
    <t>NEW Number of Yearly users</t>
  </si>
  <si>
    <t>NEW Yearly Number of Subscribers</t>
  </si>
  <si>
    <t>Cumulative Premium Subscribers</t>
  </si>
  <si>
    <t>Sub Fee</t>
  </si>
  <si>
    <t>Plan A</t>
  </si>
  <si>
    <t>Plan B</t>
  </si>
  <si>
    <t>Plan C</t>
  </si>
  <si>
    <t>Assume Market Potential via ChatGBT</t>
  </si>
  <si>
    <t xml:space="preserve">Total Subscription Revenue </t>
  </si>
  <si>
    <t>Could add these to Sceniaro</t>
  </si>
  <si>
    <t>Activation %</t>
  </si>
  <si>
    <t>Assume % of customers we could get from our potetnial pool</t>
  </si>
  <si>
    <t xml:space="preserve">How can we model growth? </t>
  </si>
  <si>
    <t>Assume Price</t>
  </si>
  <si>
    <t>Assume % Subs in Plan</t>
  </si>
  <si>
    <t xml:space="preserve">Target Revenue </t>
  </si>
  <si>
    <t>Growth Rate</t>
  </si>
  <si>
    <t>Avg. Customer Rev/Yr</t>
  </si>
  <si>
    <t>Active Users</t>
  </si>
  <si>
    <t>Lost Users</t>
  </si>
  <si>
    <t xml:space="preserve">This should cover intrest in new tech </t>
  </si>
  <si>
    <t>Retention</t>
  </si>
  <si>
    <t>New customers</t>
  </si>
  <si>
    <t>Total Customers</t>
  </si>
  <si>
    <t>Cohort Retention</t>
  </si>
  <si>
    <t>Cohort Count</t>
  </si>
  <si>
    <t>Cohort Attrition</t>
  </si>
  <si>
    <t>Total Attrition</t>
  </si>
  <si>
    <t>Attrition %</t>
  </si>
  <si>
    <t>Yr</t>
  </si>
  <si>
    <t>we need to check this</t>
  </si>
  <si>
    <t>Time to get there in yrs</t>
  </si>
  <si>
    <t xml:space="preserve"> average, each customer brings</t>
  </si>
  <si>
    <t>Inputs Rev</t>
  </si>
  <si>
    <t>Reference Attrtion Matrix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</si>
</sst>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6">
    <numFmt numFmtId="6" formatCode="&quot;$&quot;#,##0_);[Red]\(&quot;$&quot;#,##0\)"/>
    <numFmt numFmtId="169" formatCode="0.0%_);\(0.0%\);@_)"/>
    <numFmt numFmtId="170" formatCode="0\A;[Red]0\A"/>
    <numFmt numFmtId="171" formatCode="0\P_);\(0\P\)"/>
    <numFmt numFmtId="172" formatCode="m/d/yy;@"/>
    <numFmt numFmtId="173" formatCode="#,##0.0_);\(#,##0.0\)"/>
    <numFmt numFmtId="174" formatCode="#,##0.0_);\(#,##0.0\);@_)"/>
    <numFmt numFmtId="175" formatCode="_(#,##0.0%_);\(#,##0.0%\);_(&quot;–&quot;_)_%;_(@_)_%"/>
    <numFmt numFmtId="176" formatCode="_(#,##0_)_%;\(#,##0\)_%;_(&quot;–&quot;_)_%;_(@_)_%"/>
    <numFmt numFmtId="178" formatCode="0.0%"/>
    <numFmt numFmtId="179" formatCode="#,##0\ &quot;EVs&quot;"/>
    <numFmt numFmtId="180" formatCode="0\P;[Red]0\P"/>
    <numFmt numFmtId="181" formatCode="&quot;$&quot;#,##0"/>
    <numFmt numFmtId="182" formatCode="&quot;$&quot;#,##0.00"/>
    <numFmt numFmtId="188" formatCode="#,##0\ &quot;EVs&quot;;[Red]\(#,##0\ &quot;EVs&quot;\)"/>
    <numFmt numFmtId="189" formatCode="0_ ;[Red]\-0\ 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8"/>
      <color indexed="8"/>
      <name val="Arial"/>
      <family val="2"/>
    </font>
    <font>
      <u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FF"/>
      <name val="Calibri"/>
      <family val="2"/>
      <scheme val="minor"/>
    </font>
    <font>
      <b/>
      <sz val="11"/>
      <color rgb="FF008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sz val="11"/>
      <color rgb="FF000000"/>
      <name val="Calibri"/>
      <family val="2"/>
      <scheme val="minor"/>
    </font>
    <font>
      <sz val="9"/>
      <color indexed="81"/>
      <name val="Tahoma"/>
      <family val="2"/>
    </font>
    <font>
      <i/>
      <sz val="11"/>
      <color rgb="FF0000FF"/>
      <name val="Calibri"/>
      <family val="2"/>
      <scheme val="minor"/>
    </font>
    <font>
      <sz val="11"/>
      <color rgb="FF0070C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FF"/>
      <name val="Calibri"/>
      <family val="2"/>
      <scheme val="minor"/>
    </font>
    <font>
      <sz val="11"/>
      <color theme="9"/>
      <name val="Calibri"/>
      <family val="2"/>
      <scheme val="minor"/>
    </font>
    <font>
      <sz val="11"/>
      <color rgb="FF00B05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9DAF8"/>
        <bgColor indexed="64"/>
      </patternFill>
    </fill>
    <fill>
      <patternFill patternType="solid">
        <fgColor rgb="FFFCE5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rgb="FF000000"/>
      </bottom>
      <diagonal/>
    </border>
    <border>
      <left/>
      <right style="hair">
        <color rgb="FF000000"/>
      </right>
      <top/>
      <bottom/>
      <diagonal/>
    </border>
    <border>
      <left/>
      <right/>
      <top/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/>
      <top/>
      <bottom/>
      <diagonal/>
    </border>
    <border>
      <left style="hair">
        <color rgb="FF000000"/>
      </left>
      <right/>
      <top/>
      <bottom style="hair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3" fillId="0" borderId="0"/>
  </cellStyleXfs>
  <cellXfs count="104">
    <xf numFmtId="0" fontId="0" fillId="0" borderId="0" xfId="0"/>
    <xf numFmtId="0" fontId="4" fillId="0" borderId="0" xfId="2" applyFont="1" applyAlignment="1">
      <alignment horizontal="left" wrapText="1"/>
    </xf>
    <xf numFmtId="0" fontId="5" fillId="0" borderId="0" xfId="0" applyFont="1"/>
    <xf numFmtId="0" fontId="0" fillId="0" borderId="0" xfId="0" applyAlignment="1">
      <alignment horizontal="left" indent="1"/>
    </xf>
    <xf numFmtId="169" fontId="6" fillId="0" borderId="0" xfId="0" applyNumberFormat="1" applyFont="1"/>
    <xf numFmtId="169" fontId="7" fillId="0" borderId="0" xfId="0" applyNumberFormat="1" applyFont="1"/>
    <xf numFmtId="0" fontId="2" fillId="0" borderId="3" xfId="0" applyFont="1" applyBorder="1"/>
    <xf numFmtId="0" fontId="8" fillId="0" borderId="3" xfId="0" applyFont="1" applyBorder="1"/>
    <xf numFmtId="0" fontId="0" fillId="0" borderId="3" xfId="0" applyBorder="1"/>
    <xf numFmtId="170" fontId="9" fillId="0" borderId="0" xfId="0" applyNumberFormat="1" applyFont="1"/>
    <xf numFmtId="0" fontId="10" fillId="0" borderId="0" xfId="0" applyFont="1"/>
    <xf numFmtId="172" fontId="11" fillId="0" borderId="0" xfId="0" applyNumberFormat="1" applyFont="1"/>
    <xf numFmtId="0" fontId="6" fillId="0" borderId="0" xfId="0" applyFont="1"/>
    <xf numFmtId="37" fontId="7" fillId="0" borderId="0" xfId="0" applyNumberFormat="1" applyFont="1"/>
    <xf numFmtId="6" fontId="0" fillId="0" borderId="0" xfId="0" applyNumberFormat="1"/>
    <xf numFmtId="3" fontId="0" fillId="0" borderId="0" xfId="0" applyNumberFormat="1"/>
    <xf numFmtId="3" fontId="7" fillId="0" borderId="0" xfId="0" applyNumberFormat="1" applyFont="1"/>
    <xf numFmtId="37" fontId="6" fillId="0" borderId="0" xfId="0" applyNumberFormat="1" applyFont="1"/>
    <xf numFmtId="0" fontId="2" fillId="0" borderId="0" xfId="0" applyFont="1"/>
    <xf numFmtId="0" fontId="0" fillId="0" borderId="0" xfId="0" applyAlignment="1">
      <alignment horizontal="left" indent="2"/>
    </xf>
    <xf numFmtId="169" fontId="0" fillId="0" borderId="0" xfId="0" applyNumberFormat="1"/>
    <xf numFmtId="169" fontId="0" fillId="0" borderId="4" xfId="0" applyNumberFormat="1" applyBorder="1"/>
    <xf numFmtId="0" fontId="2" fillId="0" borderId="5" xfId="0" applyFont="1" applyBorder="1"/>
    <xf numFmtId="0" fontId="0" fillId="0" borderId="5" xfId="0" applyBorder="1"/>
    <xf numFmtId="0" fontId="0" fillId="0" borderId="6" xfId="0" applyBorder="1"/>
    <xf numFmtId="0" fontId="0" fillId="0" borderId="4" xfId="0" applyBorder="1"/>
    <xf numFmtId="173" fontId="0" fillId="2" borderId="0" xfId="0" applyNumberFormat="1" applyFill="1"/>
    <xf numFmtId="174" fontId="7" fillId="0" borderId="7" xfId="0" applyNumberFormat="1" applyFont="1" applyBorder="1"/>
    <xf numFmtId="174" fontId="7" fillId="0" borderId="0" xfId="0" applyNumberFormat="1" applyFont="1"/>
    <xf numFmtId="174" fontId="7" fillId="0" borderId="4" xfId="0" applyNumberFormat="1" applyFont="1" applyBorder="1"/>
    <xf numFmtId="174" fontId="6" fillId="0" borderId="0" xfId="0" applyNumberFormat="1" applyFont="1"/>
    <xf numFmtId="0" fontId="0" fillId="0" borderId="8" xfId="0" applyBorder="1"/>
    <xf numFmtId="169" fontId="6" fillId="0" borderId="7" xfId="0" applyNumberFormat="1" applyFont="1" applyBorder="1"/>
    <xf numFmtId="169" fontId="6" fillId="0" borderId="4" xfId="0" applyNumberFormat="1" applyFont="1" applyBorder="1"/>
    <xf numFmtId="0" fontId="0" fillId="0" borderId="7" xfId="0" applyBorder="1"/>
    <xf numFmtId="174" fontId="0" fillId="0" borderId="0" xfId="0" applyNumberFormat="1"/>
    <xf numFmtId="0" fontId="2" fillId="0" borderId="0" xfId="0" applyFont="1" applyAlignment="1">
      <alignment horizontal="left" indent="1"/>
    </xf>
    <xf numFmtId="175" fontId="0" fillId="0" borderId="0" xfId="0" applyNumberFormat="1"/>
    <xf numFmtId="175" fontId="0" fillId="0" borderId="7" xfId="0" applyNumberFormat="1" applyBorder="1"/>
    <xf numFmtId="175" fontId="0" fillId="0" borderId="4" xfId="0" applyNumberFormat="1" applyBorder="1"/>
    <xf numFmtId="175" fontId="6" fillId="0" borderId="7" xfId="0" applyNumberFormat="1" applyFont="1" applyBorder="1"/>
    <xf numFmtId="175" fontId="6" fillId="0" borderId="0" xfId="0" applyNumberFormat="1" applyFont="1"/>
    <xf numFmtId="175" fontId="7" fillId="2" borderId="0" xfId="0" applyNumberFormat="1" applyFont="1" applyFill="1"/>
    <xf numFmtId="175" fontId="6" fillId="0" borderId="8" xfId="0" applyNumberFormat="1" applyFont="1" applyBorder="1"/>
    <xf numFmtId="175" fontId="6" fillId="0" borderId="5" xfId="0" applyNumberFormat="1" applyFont="1" applyBorder="1"/>
    <xf numFmtId="0" fontId="2" fillId="0" borderId="9" xfId="0" applyFont="1" applyBorder="1"/>
    <xf numFmtId="0" fontId="0" fillId="0" borderId="9" xfId="0" applyBorder="1"/>
    <xf numFmtId="14" fontId="11" fillId="0" borderId="0" xfId="0" applyNumberFormat="1" applyFont="1" applyAlignment="1">
      <alignment horizontal="left"/>
    </xf>
    <xf numFmtId="0" fontId="0" fillId="0" borderId="10" xfId="0" applyBorder="1"/>
    <xf numFmtId="0" fontId="7" fillId="0" borderId="0" xfId="0" applyFont="1" applyAlignment="1">
      <alignment horizontal="center"/>
    </xf>
    <xf numFmtId="176" fontId="7" fillId="3" borderId="11" xfId="0" applyNumberFormat="1" applyFont="1" applyFill="1" applyBorder="1" applyAlignment="1">
      <alignment horizontal="center"/>
    </xf>
    <xf numFmtId="14" fontId="7" fillId="0" borderId="0" xfId="0" applyNumberFormat="1" applyFont="1" applyAlignment="1">
      <alignment horizontal="center"/>
    </xf>
    <xf numFmtId="172" fontId="7" fillId="0" borderId="0" xfId="0" applyNumberFormat="1" applyFont="1" applyAlignment="1">
      <alignment horizontal="center"/>
    </xf>
    <xf numFmtId="170" fontId="2" fillId="0" borderId="0" xfId="0" applyNumberFormat="1" applyFont="1"/>
    <xf numFmtId="171" fontId="2" fillId="0" borderId="0" xfId="0" applyNumberFormat="1" applyFont="1"/>
    <xf numFmtId="0" fontId="10" fillId="0" borderId="3" xfId="0" applyFont="1" applyBorder="1"/>
    <xf numFmtId="172" fontId="10" fillId="0" borderId="1" xfId="0" applyNumberFormat="1" applyFont="1" applyBorder="1"/>
    <xf numFmtId="0" fontId="2" fillId="0" borderId="1" xfId="0" applyFont="1" applyBorder="1"/>
    <xf numFmtId="0" fontId="0" fillId="0" borderId="1" xfId="0" applyBorder="1"/>
    <xf numFmtId="172" fontId="13" fillId="0" borderId="0" xfId="0" applyNumberFormat="1" applyFont="1"/>
    <xf numFmtId="172" fontId="10" fillId="0" borderId="0" xfId="0" applyNumberFormat="1" applyFont="1"/>
    <xf numFmtId="9" fontId="10" fillId="0" borderId="0" xfId="0" applyNumberFormat="1" applyFont="1"/>
    <xf numFmtId="178" fontId="10" fillId="0" borderId="0" xfId="0" applyNumberFormat="1" applyFont="1"/>
    <xf numFmtId="37" fontId="9" fillId="0" borderId="0" xfId="0" applyNumberFormat="1" applyFont="1"/>
    <xf numFmtId="0" fontId="0" fillId="0" borderId="0" xfId="0" quotePrefix="1"/>
    <xf numFmtId="37" fontId="0" fillId="0" borderId="0" xfId="0" applyNumberFormat="1"/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4" fontId="0" fillId="0" borderId="0" xfId="0" applyNumberFormat="1"/>
    <xf numFmtId="179" fontId="0" fillId="0" borderId="0" xfId="0" applyNumberFormat="1"/>
    <xf numFmtId="180" fontId="9" fillId="0" borderId="0" xfId="0" applyNumberFormat="1" applyFont="1"/>
    <xf numFmtId="9" fontId="0" fillId="0" borderId="0" xfId="0" applyNumberFormat="1"/>
    <xf numFmtId="181" fontId="9" fillId="0" borderId="0" xfId="0" applyNumberFormat="1" applyFont="1"/>
    <xf numFmtId="10" fontId="0" fillId="0" borderId="0" xfId="0" applyNumberFormat="1"/>
    <xf numFmtId="179" fontId="14" fillId="0" borderId="0" xfId="0" applyNumberFormat="1" applyFont="1"/>
    <xf numFmtId="10" fontId="14" fillId="0" borderId="0" xfId="0" applyNumberFormat="1" applyFont="1"/>
    <xf numFmtId="0" fontId="9" fillId="0" borderId="0" xfId="0" applyFont="1"/>
    <xf numFmtId="0" fontId="9" fillId="0" borderId="0" xfId="0" applyFont="1" applyAlignment="1">
      <alignment horizontal="left" vertical="center" indent="1"/>
    </xf>
    <xf numFmtId="0" fontId="0" fillId="4" borderId="0" xfId="0" applyFill="1"/>
    <xf numFmtId="10" fontId="0" fillId="4" borderId="0" xfId="0" applyNumberFormat="1" applyFill="1"/>
    <xf numFmtId="0" fontId="0" fillId="4" borderId="0" xfId="0" applyNumberFormat="1" applyFill="1"/>
    <xf numFmtId="0" fontId="0" fillId="0" borderId="0" xfId="0" applyFont="1" applyBorder="1"/>
    <xf numFmtId="0" fontId="0" fillId="0" borderId="0" xfId="0" applyFont="1" applyFill="1" applyBorder="1"/>
    <xf numFmtId="182" fontId="0" fillId="4" borderId="0" xfId="0" applyNumberFormat="1" applyFill="1"/>
    <xf numFmtId="181" fontId="14" fillId="0" borderId="0" xfId="0" applyNumberFormat="1" applyFont="1"/>
    <xf numFmtId="9" fontId="0" fillId="4" borderId="0" xfId="0" applyNumberFormat="1" applyFill="1"/>
    <xf numFmtId="181" fontId="15" fillId="0" borderId="0" xfId="0" applyNumberFormat="1" applyFont="1"/>
    <xf numFmtId="0" fontId="2" fillId="0" borderId="0" xfId="0" applyFont="1" applyFill="1" applyBorder="1"/>
    <xf numFmtId="0" fontId="0" fillId="0" borderId="2" xfId="0" applyBorder="1"/>
    <xf numFmtId="179" fontId="14" fillId="0" borderId="2" xfId="0" applyNumberFormat="1" applyFont="1" applyBorder="1"/>
    <xf numFmtId="181" fontId="0" fillId="4" borderId="0" xfId="0" applyNumberFormat="1" applyFill="1"/>
    <xf numFmtId="188" fontId="14" fillId="0" borderId="0" xfId="0" applyNumberFormat="1" applyFont="1"/>
    <xf numFmtId="0" fontId="16" fillId="0" borderId="0" xfId="0" applyFont="1" applyAlignment="1">
      <alignment horizontal="center"/>
    </xf>
    <xf numFmtId="0" fontId="0" fillId="0" borderId="0" xfId="0" applyAlignment="1">
      <alignment horizontal="center"/>
    </xf>
    <xf numFmtId="9" fontId="17" fillId="4" borderId="0" xfId="1" applyFont="1" applyFill="1"/>
    <xf numFmtId="189" fontId="0" fillId="5" borderId="0" xfId="0" applyNumberFormat="1" applyFill="1"/>
    <xf numFmtId="0" fontId="16" fillId="0" borderId="0" xfId="0" applyFont="1"/>
    <xf numFmtId="9" fontId="0" fillId="0" borderId="0" xfId="1" applyFont="1"/>
    <xf numFmtId="1" fontId="0" fillId="0" borderId="0" xfId="0" applyNumberFormat="1"/>
    <xf numFmtId="189" fontId="0" fillId="0" borderId="0" xfId="0" applyNumberFormat="1"/>
    <xf numFmtId="0" fontId="0" fillId="0" borderId="0" xfId="0" applyBorder="1"/>
    <xf numFmtId="9" fontId="18" fillId="0" borderId="0" xfId="0" applyNumberFormat="1" applyFont="1"/>
    <xf numFmtId="179" fontId="19" fillId="0" borderId="0" xfId="0" applyNumberFormat="1" applyFont="1" applyBorder="1"/>
    <xf numFmtId="179" fontId="0" fillId="4" borderId="2" xfId="0" applyNumberFormat="1" applyFill="1" applyBorder="1"/>
  </cellXfs>
  <cellStyles count="3">
    <cellStyle name="Normal" xfId="0" builtinId="0"/>
    <cellStyle name="Normal 2" xfId="2" xr:uid="{431D231B-1A0B-4EF8-B5B3-214D4278AF15}"/>
    <cellStyle name="Percent" xfId="1" builtinId="5"/>
  </cellStyles>
  <dxfs count="2">
    <dxf>
      <fill>
        <patternFill>
          <bgColor theme="8"/>
        </patternFill>
      </fill>
      <border>
        <left/>
        <right/>
        <top style="thin">
          <color rgb="FF9C0006"/>
        </top>
        <bottom style="thin">
          <color rgb="FF9C0006"/>
        </bottom>
        <vertical/>
        <horizontal/>
      </border>
    </dxf>
    <dxf>
      <fill>
        <patternFill>
          <bgColor theme="8"/>
        </patternFill>
      </fill>
      <border>
        <left/>
        <right/>
        <top style="thin">
          <color rgb="FF9C0006"/>
        </top>
        <bottom style="thin">
          <color rgb="FF9C0006"/>
        </bottom>
        <vertical/>
        <horizontal/>
      </border>
    </dxf>
  </dxfs>
  <tableStyles count="1" defaultTableStyle="TableStyleMedium2" defaultPivotStyle="PivotStyleLight16">
    <tableStyle name="Invisible" pivot="0" table="0" count="0" xr9:uid="{B88C899B-24CF-44C6-98EE-510E9593895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AttrtionMatrix!$C$100</c:f>
              <c:strCache>
                <c:ptCount val="1"/>
                <c:pt idx="0">
                  <c:v>Attrition 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AttrtionMatrix!$D$100:$M$100</c:f>
              <c:numCache>
                <c:formatCode>0%</c:formatCode>
                <c:ptCount val="10"/>
                <c:pt idx="0">
                  <c:v>0</c:v>
                </c:pt>
                <c:pt idx="1">
                  <c:v>-4.1009463722397478E-2</c:v>
                </c:pt>
                <c:pt idx="2">
                  <c:v>-5.3745928338762197E-2</c:v>
                </c:pt>
                <c:pt idx="3">
                  <c:v>-9.6266785567139815E-2</c:v>
                </c:pt>
                <c:pt idx="4">
                  <c:v>-0.11973520950064832</c:v>
                </c:pt>
                <c:pt idx="5">
                  <c:v>-0.13969507258931066</c:v>
                </c:pt>
                <c:pt idx="6">
                  <c:v>-0.17942746372737384</c:v>
                </c:pt>
                <c:pt idx="7">
                  <c:v>-0.17857529539679406</c:v>
                </c:pt>
                <c:pt idx="8">
                  <c:v>-0.16936497677484891</c:v>
                </c:pt>
                <c:pt idx="9">
                  <c:v>-0.16240416751097986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CF1-4757-92C0-B0A11682D0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11695104"/>
        <c:axId val="1411713344"/>
      </c:lineChart>
      <c:catAx>
        <c:axId val="1411695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1713344"/>
        <c:crosses val="autoZero"/>
        <c:auto val="1"/>
        <c:lblAlgn val="ctr"/>
        <c:lblOffset val="100"/>
        <c:noMultiLvlLbl val="0"/>
      </c:catAx>
      <c:valAx>
        <c:axId val="1411713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16951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775606</xdr:colOff>
      <xdr:row>102</xdr:row>
      <xdr:rowOff>42030</xdr:rowOff>
    </xdr:from>
    <xdr:to>
      <xdr:col>18</xdr:col>
      <xdr:colOff>60475</xdr:colOff>
      <xdr:row>124</xdr:row>
      <xdr:rowOff>45356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AED313F-4DBB-DA25-A462-26598E00A7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25400</xdr:colOff>
      <xdr:row>0</xdr:row>
      <xdr:rowOff>0</xdr:rowOff>
    </xdr:from>
    <xdr:to>
      <xdr:col>18</xdr:col>
      <xdr:colOff>394096</xdr:colOff>
      <xdr:row>13</xdr:row>
      <xdr:rowOff>159277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156E69-3ADA-2C63-09E6-6DECACE54F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50300" y="0"/>
          <a:ext cx="5575696" cy="255322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D12"/>
  <sheetViews>
    <sheetView workbookViewId="0">
      <selection activeCell="C4" sqref="C4"/>
    </sheetView>
  </sheetViews>
  <sheetFormatPr defaultRowHeight="14.5" x14ac:dyDescent="0.35"/>
  <cols>
    <col min="2" max="2" width="16.26953125" bestFit="1" customWidth="1"/>
    <col min="3" max="3" width="7.81640625" bestFit="1" customWidth="1"/>
    <col min="4" max="4" width="9.453125" bestFit="1" customWidth="1"/>
  </cols>
  <sheetData>
    <row r="3" spans="2:4" x14ac:dyDescent="0.35">
      <c r="B3" t="s">
        <v>0</v>
      </c>
    </row>
    <row r="4" spans="2:4" x14ac:dyDescent="0.35">
      <c r="B4" t="s">
        <v>1</v>
      </c>
      <c r="C4">
        <f>1*10^6</f>
        <v>1000000</v>
      </c>
      <c r="D4" t="s">
        <v>2</v>
      </c>
    </row>
    <row r="6" spans="2:4" x14ac:dyDescent="0.35">
      <c r="B6" t="s">
        <v>3</v>
      </c>
    </row>
    <row r="10" spans="2:4" x14ac:dyDescent="0.35">
      <c r="B10" s="76" t="s">
        <v>79</v>
      </c>
    </row>
    <row r="12" spans="2:4" x14ac:dyDescent="0.35">
      <c r="B12" s="77" t="s">
        <v>80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BEC819-D626-4385-8188-33369E8CF8CD}">
  <dimension ref="B3:H104"/>
  <sheetViews>
    <sheetView workbookViewId="0">
      <selection activeCell="C11" sqref="C11"/>
    </sheetView>
  </sheetViews>
  <sheetFormatPr defaultRowHeight="14.5" x14ac:dyDescent="0.35"/>
  <cols>
    <col min="2" max="2" width="40.6328125" customWidth="1"/>
    <col min="3" max="3" width="12" customWidth="1"/>
    <col min="12" max="12" width="2.6328125" customWidth="1"/>
  </cols>
  <sheetData>
    <row r="3" spans="2:4" ht="14" customHeight="1" x14ac:dyDescent="0.35">
      <c r="B3" s="1" t="s">
        <v>89</v>
      </c>
      <c r="C3" s="80">
        <v>1000000</v>
      </c>
      <c r="D3" t="s">
        <v>86</v>
      </c>
    </row>
    <row r="4" spans="2:4" ht="14" customHeight="1" x14ac:dyDescent="0.35">
      <c r="B4" s="1"/>
    </row>
    <row r="5" spans="2:4" ht="14" customHeight="1" x14ac:dyDescent="0.35">
      <c r="B5" s="1" t="s">
        <v>81</v>
      </c>
      <c r="C5" s="79">
        <v>0.85</v>
      </c>
      <c r="D5" t="s">
        <v>82</v>
      </c>
    </row>
    <row r="6" spans="2:4" ht="14" customHeight="1" x14ac:dyDescent="0.35">
      <c r="B6" s="1"/>
    </row>
    <row r="7" spans="2:4" ht="14" customHeight="1" x14ac:dyDescent="0.35">
      <c r="B7" s="1" t="s">
        <v>83</v>
      </c>
      <c r="C7">
        <f>C3*C5</f>
        <v>850000</v>
      </c>
    </row>
    <row r="8" spans="2:4" ht="14" customHeight="1" x14ac:dyDescent="0.35">
      <c r="B8" s="1"/>
    </row>
    <row r="9" spans="2:4" ht="14" customHeight="1" x14ac:dyDescent="0.35">
      <c r="B9" s="1" t="s">
        <v>84</v>
      </c>
      <c r="C9" s="79">
        <v>0.02</v>
      </c>
    </row>
    <row r="10" spans="2:4" ht="14" customHeight="1" x14ac:dyDescent="0.35">
      <c r="B10" s="1"/>
    </row>
    <row r="11" spans="2:4" ht="14" customHeight="1" x14ac:dyDescent="0.35">
      <c r="B11" s="1" t="s">
        <v>85</v>
      </c>
      <c r="C11">
        <f>(1-C9)*C7</f>
        <v>833000</v>
      </c>
    </row>
    <row r="12" spans="2:4" ht="14" customHeight="1" x14ac:dyDescent="0.35">
      <c r="B12" s="1" t="s">
        <v>87</v>
      </c>
      <c r="C12">
        <f>C9*C7</f>
        <v>17000</v>
      </c>
    </row>
    <row r="13" spans="2:4" ht="14" customHeight="1" x14ac:dyDescent="0.35">
      <c r="B13" s="1"/>
    </row>
    <row r="14" spans="2:4" ht="14" customHeight="1" x14ac:dyDescent="0.35">
      <c r="B14" s="1" t="s">
        <v>88</v>
      </c>
      <c r="C14" s="78">
        <v>19</v>
      </c>
    </row>
    <row r="15" spans="2:4" ht="14" customHeight="1" x14ac:dyDescent="0.35">
      <c r="B15" s="1"/>
    </row>
    <row r="16" spans="2:4" ht="14" customHeight="1" x14ac:dyDescent="0.35">
      <c r="B16" s="1" t="s">
        <v>4</v>
      </c>
      <c r="C16">
        <f>C14*C12</f>
        <v>323000</v>
      </c>
    </row>
    <row r="17" spans="2:2" ht="14" customHeight="1" x14ac:dyDescent="0.35">
      <c r="B17" s="1"/>
    </row>
    <row r="18" spans="2:2" ht="14" customHeight="1" x14ac:dyDescent="0.35">
      <c r="B18" s="1"/>
    </row>
    <row r="19" spans="2:2" ht="14" customHeight="1" x14ac:dyDescent="0.35">
      <c r="B19" s="1"/>
    </row>
    <row r="20" spans="2:2" ht="14" customHeight="1" x14ac:dyDescent="0.35">
      <c r="B20" s="1"/>
    </row>
    <row r="21" spans="2:2" ht="14" customHeight="1" x14ac:dyDescent="0.35">
      <c r="B21" s="1"/>
    </row>
    <row r="22" spans="2:2" ht="14" customHeight="1" x14ac:dyDescent="0.35">
      <c r="B22" s="1"/>
    </row>
    <row r="23" spans="2:2" ht="14" customHeight="1" x14ac:dyDescent="0.35">
      <c r="B23" s="1"/>
    </row>
    <row r="24" spans="2:2" ht="14" customHeight="1" x14ac:dyDescent="0.35">
      <c r="B24" s="1"/>
    </row>
    <row r="25" spans="2:2" ht="14" customHeight="1" x14ac:dyDescent="0.35">
      <c r="B25" s="1"/>
    </row>
    <row r="26" spans="2:2" ht="14" customHeight="1" x14ac:dyDescent="0.35">
      <c r="B26" s="1"/>
    </row>
    <row r="27" spans="2:2" ht="14" customHeight="1" x14ac:dyDescent="0.35">
      <c r="B27" s="1"/>
    </row>
    <row r="28" spans="2:2" ht="14" customHeight="1" x14ac:dyDescent="0.35">
      <c r="B28" s="1"/>
    </row>
    <row r="29" spans="2:2" ht="14" customHeight="1" x14ac:dyDescent="0.35">
      <c r="B29" s="1"/>
    </row>
    <row r="30" spans="2:2" ht="14" customHeight="1" x14ac:dyDescent="0.35">
      <c r="B30" s="1"/>
    </row>
    <row r="31" spans="2:2" ht="14" customHeight="1" x14ac:dyDescent="0.35">
      <c r="B31" s="1"/>
    </row>
    <row r="32" spans="2:2" ht="14" customHeight="1" x14ac:dyDescent="0.35">
      <c r="B32" s="1"/>
    </row>
    <row r="33" spans="2:2" ht="14" customHeight="1" x14ac:dyDescent="0.35">
      <c r="B33" s="1"/>
    </row>
    <row r="34" spans="2:2" ht="14" customHeight="1" x14ac:dyDescent="0.35">
      <c r="B34" s="1"/>
    </row>
    <row r="35" spans="2:2" ht="14" customHeight="1" x14ac:dyDescent="0.35">
      <c r="B35" s="1"/>
    </row>
    <row r="36" spans="2:2" ht="14" customHeight="1" x14ac:dyDescent="0.35">
      <c r="B36" s="1"/>
    </row>
    <row r="37" spans="2:2" ht="14" customHeight="1" x14ac:dyDescent="0.35">
      <c r="B37" s="1"/>
    </row>
    <row r="38" spans="2:2" ht="14" customHeight="1" x14ac:dyDescent="0.35">
      <c r="B38" s="1"/>
    </row>
    <row r="39" spans="2:2" ht="14" customHeight="1" x14ac:dyDescent="0.35">
      <c r="B39" s="1"/>
    </row>
    <row r="40" spans="2:2" ht="14" customHeight="1" x14ac:dyDescent="0.35">
      <c r="B40" s="1"/>
    </row>
    <row r="41" spans="2:2" ht="14" customHeight="1" x14ac:dyDescent="0.35">
      <c r="B41" s="1"/>
    </row>
    <row r="42" spans="2:2" ht="14" customHeight="1" x14ac:dyDescent="0.35">
      <c r="B42" s="1"/>
    </row>
    <row r="43" spans="2:2" ht="14" customHeight="1" x14ac:dyDescent="0.35">
      <c r="B43" s="1"/>
    </row>
    <row r="44" spans="2:2" ht="14" customHeight="1" x14ac:dyDescent="0.35">
      <c r="B44" s="1"/>
    </row>
    <row r="45" spans="2:2" ht="14" customHeight="1" x14ac:dyDescent="0.35">
      <c r="B45" s="1"/>
    </row>
    <row r="46" spans="2:2" ht="14" customHeight="1" x14ac:dyDescent="0.35">
      <c r="B46" s="1"/>
    </row>
    <row r="47" spans="2:2" ht="14" customHeight="1" x14ac:dyDescent="0.35">
      <c r="B47" s="1"/>
    </row>
    <row r="48" spans="2:2" ht="14" customHeight="1" x14ac:dyDescent="0.35">
      <c r="B48" s="1"/>
    </row>
    <row r="49" spans="2:2" ht="14" customHeight="1" x14ac:dyDescent="0.35">
      <c r="B49" s="1"/>
    </row>
    <row r="50" spans="2:2" ht="14" customHeight="1" x14ac:dyDescent="0.35">
      <c r="B50" s="1"/>
    </row>
    <row r="51" spans="2:2" ht="14" customHeight="1" x14ac:dyDescent="0.35">
      <c r="B51" s="1"/>
    </row>
    <row r="52" spans="2:2" ht="14" customHeight="1" x14ac:dyDescent="0.35">
      <c r="B52" s="1"/>
    </row>
    <row r="53" spans="2:2" ht="14" customHeight="1" x14ac:dyDescent="0.35">
      <c r="B53" s="1"/>
    </row>
    <row r="54" spans="2:2" ht="14" customHeight="1" x14ac:dyDescent="0.35">
      <c r="B54" s="1"/>
    </row>
    <row r="55" spans="2:2" ht="14" customHeight="1" x14ac:dyDescent="0.35">
      <c r="B55" s="1"/>
    </row>
    <row r="56" spans="2:2" ht="14" customHeight="1" x14ac:dyDescent="0.35">
      <c r="B56" s="1"/>
    </row>
    <row r="57" spans="2:2" ht="14" customHeight="1" x14ac:dyDescent="0.35">
      <c r="B57" s="1"/>
    </row>
    <row r="58" spans="2:2" ht="14" customHeight="1" x14ac:dyDescent="0.35">
      <c r="B58" s="1"/>
    </row>
    <row r="59" spans="2:2" ht="14" customHeight="1" x14ac:dyDescent="0.35">
      <c r="B59" s="1"/>
    </row>
    <row r="60" spans="2:2" ht="14" customHeight="1" x14ac:dyDescent="0.35">
      <c r="B60" s="1"/>
    </row>
    <row r="61" spans="2:2" ht="14" customHeight="1" x14ac:dyDescent="0.35">
      <c r="B61" s="1"/>
    </row>
    <row r="62" spans="2:2" ht="14" customHeight="1" x14ac:dyDescent="0.35">
      <c r="B62" s="1"/>
    </row>
    <row r="63" spans="2:2" ht="14" customHeight="1" x14ac:dyDescent="0.35">
      <c r="B63" s="1"/>
    </row>
    <row r="64" spans="2:2" ht="14" customHeight="1" x14ac:dyDescent="0.35">
      <c r="B64" s="1"/>
    </row>
    <row r="65" spans="2:2" ht="14" customHeight="1" x14ac:dyDescent="0.35">
      <c r="B65" s="1"/>
    </row>
    <row r="66" spans="2:2" ht="14" customHeight="1" x14ac:dyDescent="0.35">
      <c r="B66" s="1"/>
    </row>
    <row r="67" spans="2:2" ht="14" customHeight="1" x14ac:dyDescent="0.35">
      <c r="B67" s="1"/>
    </row>
    <row r="68" spans="2:2" ht="14" customHeight="1" x14ac:dyDescent="0.35">
      <c r="B68" s="1"/>
    </row>
    <row r="69" spans="2:2" ht="14" customHeight="1" x14ac:dyDescent="0.35">
      <c r="B69" s="1"/>
    </row>
    <row r="70" spans="2:2" ht="14" customHeight="1" x14ac:dyDescent="0.35">
      <c r="B70" s="1"/>
    </row>
    <row r="71" spans="2:2" ht="14" customHeight="1" x14ac:dyDescent="0.35">
      <c r="B71" s="1"/>
    </row>
    <row r="72" spans="2:2" ht="14" customHeight="1" x14ac:dyDescent="0.35">
      <c r="B72" s="1"/>
    </row>
    <row r="73" spans="2:2" ht="14" customHeight="1" x14ac:dyDescent="0.35">
      <c r="B73" s="1"/>
    </row>
    <row r="74" spans="2:2" ht="14" customHeight="1" x14ac:dyDescent="0.35">
      <c r="B74" s="1"/>
    </row>
    <row r="75" spans="2:2" ht="14" customHeight="1" x14ac:dyDescent="0.35">
      <c r="B75" s="1"/>
    </row>
    <row r="76" spans="2:2" ht="14" customHeight="1" x14ac:dyDescent="0.35">
      <c r="B76" s="1"/>
    </row>
    <row r="77" spans="2:2" ht="14" customHeight="1" x14ac:dyDescent="0.35">
      <c r="B77" s="1"/>
    </row>
    <row r="78" spans="2:2" ht="14" customHeight="1" x14ac:dyDescent="0.35">
      <c r="B78" s="1"/>
    </row>
    <row r="79" spans="2:2" ht="14" customHeight="1" x14ac:dyDescent="0.35">
      <c r="B79" s="1"/>
    </row>
    <row r="80" spans="2:2" ht="14" customHeight="1" x14ac:dyDescent="0.35">
      <c r="B80" s="1"/>
    </row>
    <row r="81" spans="2:2" ht="14" customHeight="1" x14ac:dyDescent="0.35">
      <c r="B81" s="1"/>
    </row>
    <row r="82" spans="2:2" ht="14" customHeight="1" x14ac:dyDescent="0.35">
      <c r="B82" s="1"/>
    </row>
    <row r="83" spans="2:2" ht="14" customHeight="1" x14ac:dyDescent="0.35">
      <c r="B83" s="1"/>
    </row>
    <row r="84" spans="2:2" ht="14" customHeight="1" x14ac:dyDescent="0.35">
      <c r="B84" s="1"/>
    </row>
    <row r="85" spans="2:2" ht="14" customHeight="1" x14ac:dyDescent="0.35">
      <c r="B85" s="1"/>
    </row>
    <row r="86" spans="2:2" ht="14" customHeight="1" x14ac:dyDescent="0.35">
      <c r="B86" s="1"/>
    </row>
    <row r="87" spans="2:2" ht="14" customHeight="1" x14ac:dyDescent="0.35">
      <c r="B87" s="1"/>
    </row>
    <row r="88" spans="2:2" ht="14" customHeight="1" x14ac:dyDescent="0.35">
      <c r="B88" s="1"/>
    </row>
    <row r="89" spans="2:2" ht="14" customHeight="1" x14ac:dyDescent="0.35">
      <c r="B89" s="1"/>
    </row>
    <row r="90" spans="2:2" ht="14" customHeight="1" x14ac:dyDescent="0.35">
      <c r="B90" s="1"/>
    </row>
    <row r="91" spans="2:2" ht="14" customHeight="1" x14ac:dyDescent="0.35">
      <c r="B91" s="1"/>
    </row>
    <row r="92" spans="2:2" ht="14" customHeight="1" x14ac:dyDescent="0.35">
      <c r="B92" s="1"/>
    </row>
    <row r="93" spans="2:2" ht="14" customHeight="1" x14ac:dyDescent="0.35">
      <c r="B93" s="1"/>
    </row>
    <row r="94" spans="2:2" ht="14" customHeight="1" x14ac:dyDescent="0.35">
      <c r="B94" s="1"/>
    </row>
    <row r="95" spans="2:2" ht="14" customHeight="1" x14ac:dyDescent="0.35">
      <c r="B95" s="1"/>
    </row>
    <row r="96" spans="2:2" ht="14" customHeight="1" x14ac:dyDescent="0.35">
      <c r="B96" s="1"/>
    </row>
    <row r="99" spans="2:8" x14ac:dyDescent="0.35">
      <c r="B99" s="2"/>
    </row>
    <row r="100" spans="2:8" x14ac:dyDescent="0.35">
      <c r="B100" s="3"/>
      <c r="C100" s="4"/>
      <c r="D100" s="5"/>
      <c r="E100" s="5"/>
      <c r="F100" s="5"/>
      <c r="G100" s="4"/>
      <c r="H100" s="4"/>
    </row>
    <row r="101" spans="2:8" x14ac:dyDescent="0.35">
      <c r="B101" s="3"/>
      <c r="C101" s="4"/>
      <c r="D101" s="5"/>
      <c r="E101" s="5"/>
      <c r="F101" s="5"/>
      <c r="G101" s="4"/>
      <c r="H101" s="4"/>
    </row>
    <row r="102" spans="2:8" x14ac:dyDescent="0.35">
      <c r="B102" s="3"/>
      <c r="C102" s="4"/>
      <c r="D102" s="5"/>
      <c r="E102" s="5"/>
      <c r="F102" s="5"/>
      <c r="G102" s="4"/>
      <c r="H102" s="4"/>
    </row>
    <row r="103" spans="2:8" x14ac:dyDescent="0.35">
      <c r="B103" s="3"/>
      <c r="C103" s="4"/>
      <c r="D103" s="5"/>
      <c r="E103" s="5"/>
      <c r="F103" s="5"/>
      <c r="G103" s="4"/>
      <c r="H103" s="4"/>
    </row>
    <row r="104" spans="2:8" x14ac:dyDescent="0.35">
      <c r="B104" s="3"/>
      <c r="C104" s="4"/>
      <c r="D104" s="5"/>
      <c r="E104" s="5"/>
      <c r="F104" s="5"/>
      <c r="G104" s="4"/>
      <c r="H104" s="4"/>
    </row>
  </sheetData>
  <conditionalFormatting sqref="B103">
    <cfRule type="expression" dxfId="1" priority="1">
      <formula>#REF!=$C103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BE2D90-8617-4221-AA40-FE845A934E49}">
  <dimension ref="A1:AA113"/>
  <sheetViews>
    <sheetView tabSelected="1" zoomScale="42" zoomScaleNormal="42" workbookViewId="0">
      <selection activeCell="N3" sqref="N3"/>
    </sheetView>
  </sheetViews>
  <sheetFormatPr defaultColWidth="0" defaultRowHeight="14.5" outlineLevelRow="1" x14ac:dyDescent="0.35"/>
  <cols>
    <col min="1" max="2" width="11.81640625" customWidth="1"/>
    <col min="3" max="3" width="15.81640625" bestFit="1" customWidth="1"/>
    <col min="4" max="27" width="11.81640625" customWidth="1"/>
    <col min="28" max="16384" width="11.81640625" hidden="1"/>
  </cols>
  <sheetData>
    <row r="1" spans="2:27" ht="15.5" x14ac:dyDescent="0.35">
      <c r="C1" s="92" t="s">
        <v>119</v>
      </c>
      <c r="D1" s="92">
        <v>1</v>
      </c>
      <c r="E1" s="92">
        <f>D1+1</f>
        <v>2</v>
      </c>
      <c r="F1" s="92">
        <f t="shared" ref="F1:I1" si="0">E1+1</f>
        <v>3</v>
      </c>
      <c r="G1" s="92">
        <f t="shared" si="0"/>
        <v>4</v>
      </c>
      <c r="H1" s="92">
        <f t="shared" si="0"/>
        <v>5</v>
      </c>
      <c r="I1" s="92">
        <f t="shared" si="0"/>
        <v>6</v>
      </c>
    </row>
    <row r="2" spans="2:27" ht="15.5" x14ac:dyDescent="0.35">
      <c r="C2" s="92"/>
      <c r="D2" s="92"/>
      <c r="E2" s="92"/>
      <c r="F2" s="92"/>
      <c r="G2" s="92"/>
      <c r="H2" s="92"/>
      <c r="I2" s="92"/>
    </row>
    <row r="3" spans="2:27" ht="15.5" x14ac:dyDescent="0.35">
      <c r="C3" s="92"/>
      <c r="D3" s="92"/>
      <c r="E3" s="92"/>
      <c r="F3" s="92"/>
      <c r="G3" s="92"/>
      <c r="H3" s="92"/>
      <c r="I3" s="92"/>
    </row>
    <row r="4" spans="2:27" ht="15.5" x14ac:dyDescent="0.35">
      <c r="C4" s="93" t="s">
        <v>111</v>
      </c>
      <c r="D4" s="94">
        <v>0.75</v>
      </c>
      <c r="E4" s="94">
        <v>0.65</v>
      </c>
      <c r="F4" s="94">
        <v>0.55000000000000004</v>
      </c>
      <c r="G4" s="94">
        <v>0.12</v>
      </c>
      <c r="H4" s="94">
        <v>0.02</v>
      </c>
      <c r="I4" s="94">
        <v>0.03</v>
      </c>
    </row>
    <row r="9" spans="2:27" ht="15.5" x14ac:dyDescent="0.35">
      <c r="C9" s="92" t="s">
        <v>119</v>
      </c>
      <c r="D9" s="92">
        <v>1</v>
      </c>
      <c r="E9" s="92">
        <f>D9+1</f>
        <v>2</v>
      </c>
      <c r="F9" s="92">
        <f t="shared" ref="F9:M9" si="1">E9+1</f>
        <v>3</v>
      </c>
      <c r="G9" s="92">
        <f t="shared" si="1"/>
        <v>4</v>
      </c>
      <c r="H9" s="92">
        <f t="shared" si="1"/>
        <v>5</v>
      </c>
      <c r="I9" s="92">
        <f t="shared" si="1"/>
        <v>6</v>
      </c>
      <c r="J9" s="92">
        <f t="shared" si="1"/>
        <v>7</v>
      </c>
      <c r="K9" s="92">
        <f t="shared" si="1"/>
        <v>8</v>
      </c>
      <c r="L9" s="92">
        <f t="shared" si="1"/>
        <v>9</v>
      </c>
      <c r="M9" s="92">
        <f t="shared" si="1"/>
        <v>10</v>
      </c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1" spans="2:27" x14ac:dyDescent="0.35">
      <c r="B11" t="s">
        <v>123</v>
      </c>
      <c r="C11" t="s">
        <v>112</v>
      </c>
      <c r="D11">
        <f>RevBuild!D34</f>
        <v>195</v>
      </c>
      <c r="E11">
        <f>RevBuild!E34</f>
        <v>300</v>
      </c>
      <c r="F11">
        <f>RevBuild!F34</f>
        <v>495</v>
      </c>
      <c r="G11">
        <f>RevBuild!G34</f>
        <v>939.19693466859371</v>
      </c>
      <c r="H11">
        <f>RevBuild!H34</f>
        <v>1033.1166281354526</v>
      </c>
      <c r="I11">
        <f>RevBuild!I34</f>
        <v>1136.4282909489984</v>
      </c>
      <c r="J11">
        <f>RevBuild!J34</f>
        <v>1250.0711200438982</v>
      </c>
      <c r="K11">
        <f>RevBuild!K34</f>
        <v>1375.0782320482886</v>
      </c>
      <c r="L11">
        <f>RevBuild!L34</f>
        <v>1512.5860552531176</v>
      </c>
      <c r="M11">
        <f>RevBuild!M34</f>
        <v>1663.8446607784299</v>
      </c>
    </row>
    <row r="13" spans="2:27" x14ac:dyDescent="0.35">
      <c r="C13" t="s">
        <v>113</v>
      </c>
      <c r="D13">
        <f>D11</f>
        <v>195</v>
      </c>
      <c r="E13" s="95">
        <f>(E11+D13) +E98</f>
        <v>475.5</v>
      </c>
      <c r="F13" s="95">
        <f t="shared" ref="F13:M13" si="2">(F11+E13) +F98</f>
        <v>921</v>
      </c>
      <c r="G13" s="95">
        <f t="shared" si="2"/>
        <v>1696.8469346685938</v>
      </c>
      <c r="H13" s="95">
        <f t="shared" si="2"/>
        <v>2438.0438693371871</v>
      </c>
      <c r="I13" s="95">
        <f t="shared" si="2"/>
        <v>3136.3408040057811</v>
      </c>
      <c r="J13" s="95">
        <f t="shared" si="2"/>
        <v>3719.1027502337388</v>
      </c>
      <c r="K13" s="95">
        <f t="shared" si="2"/>
        <v>4322.3211976176335</v>
      </c>
      <c r="L13" s="95">
        <f t="shared" si="2"/>
        <v>4989.8084590866038</v>
      </c>
      <c r="M13" s="95">
        <f t="shared" si="2"/>
        <v>5724.0444467024718</v>
      </c>
    </row>
    <row r="14" spans="2:27" ht="18" customHeight="1" outlineLevel="1" x14ac:dyDescent="0.35"/>
    <row r="15" spans="2:27" ht="15.5" outlineLevel="1" x14ac:dyDescent="0.35">
      <c r="C15" s="96" t="s">
        <v>114</v>
      </c>
    </row>
    <row r="16" spans="2:27" outlineLevel="1" x14ac:dyDescent="0.35">
      <c r="C16" s="93">
        <v>1</v>
      </c>
      <c r="D16" s="97">
        <f>D$4</f>
        <v>0.75</v>
      </c>
      <c r="E16" s="97">
        <f t="shared" ref="E16:I16" si="3">E$4</f>
        <v>0.65</v>
      </c>
      <c r="F16" s="97">
        <f t="shared" si="3"/>
        <v>0.55000000000000004</v>
      </c>
      <c r="G16" s="97">
        <f t="shared" si="3"/>
        <v>0.12</v>
      </c>
      <c r="H16" s="97">
        <f t="shared" si="3"/>
        <v>0.02</v>
      </c>
      <c r="I16" s="97">
        <f t="shared" si="3"/>
        <v>0.03</v>
      </c>
      <c r="J16" s="97"/>
      <c r="K16" s="97"/>
    </row>
    <row r="17" spans="3:27" outlineLevel="1" x14ac:dyDescent="0.35">
      <c r="C17" s="93">
        <f>C16+1</f>
        <v>2</v>
      </c>
      <c r="D17" s="97" t="str">
        <f>IF(OR(D$9&gt;($C17+5),(D$9-$C17)&lt;0),"",_xlfn.XLOOKUP(D$9-$C16,$D$1:$I$1,$D$4:$I$4))</f>
        <v/>
      </c>
      <c r="E17" s="97">
        <f>IF(OR(E$9&gt;($C17+5),(E$9-$C17)&lt;0),"",_xlfn.XLOOKUP(E$9-$C16,$D$1:$I$1,$D$4:$I$4))</f>
        <v>0.75</v>
      </c>
      <c r="F17" s="97">
        <f>IF(OR(F$9&gt;($C17+5),(F$9-$C17)&lt;0),"",_xlfn.XLOOKUP(F$9-$C16,$D$1:$I$1,$D$4:$I$4))</f>
        <v>0.65</v>
      </c>
      <c r="G17" s="97">
        <f>IF(OR(G$9&gt;($C17+5),(G$9-$C17)&lt;0),"",_xlfn.XLOOKUP(G$9-$C16,$D$1:$I$1,$D$4:$I$4))</f>
        <v>0.55000000000000004</v>
      </c>
      <c r="H17" s="97">
        <f>IF(OR(H$9&gt;($C17+5),(H$9-$C17)&lt;0),"",_xlfn.XLOOKUP(H$9-$C16,$D$1:$I$1,$D$4:$I$4))</f>
        <v>0.12</v>
      </c>
      <c r="I17" s="97">
        <f>IF(OR(I$9&gt;($C17+5),(I$9-$C17)&lt;0),"",_xlfn.XLOOKUP(I$9-$C16,$D$1:$I$1,$D$4:$I$4))</f>
        <v>0.02</v>
      </c>
      <c r="J17" s="97">
        <f>IF(OR(J$9&gt;($C17+5),(J$9-$C17)&lt;0),"",_xlfn.XLOOKUP(J$9-$C16,$D$1:$I$1,$D$4:$I$4))</f>
        <v>0.03</v>
      </c>
      <c r="K17" s="97" t="str">
        <f>IF(OR(K$9&gt;($C17+5),(K$9-$C17)&lt;0),"",_xlfn.XLOOKUP(K$9-$C16,$D$1:$I$1,$D$4:$I$4))</f>
        <v/>
      </c>
      <c r="L17" s="97" t="str">
        <f>IF(OR(L$9&gt;($C17+5),(L$9-$C17)&lt;0),"",_xlfn.XLOOKUP(L$9-$C16,$D$1:$I$1,$D$4:$I$4))</f>
        <v/>
      </c>
      <c r="M17" s="97" t="str">
        <f>IF(OR(M$9&gt;($C17+5),(M$9-$C17)&lt;0),"",_xlfn.XLOOKUP(M$9-$C16,$D$1:$I$1,$D$4:$I$4))</f>
        <v/>
      </c>
      <c r="N17" s="97"/>
      <c r="O17" s="97"/>
      <c r="P17" s="97"/>
      <c r="Q17" s="97"/>
      <c r="R17" s="97"/>
      <c r="S17" s="97"/>
      <c r="T17" s="97"/>
      <c r="U17" s="97"/>
      <c r="V17" s="97"/>
      <c r="W17" s="97"/>
      <c r="X17" s="97"/>
      <c r="Y17" s="97"/>
      <c r="Z17" s="97"/>
      <c r="AA17" s="97"/>
    </row>
    <row r="18" spans="3:27" outlineLevel="1" x14ac:dyDescent="0.35">
      <c r="C18" s="93">
        <f t="shared" ref="C18:C39" si="4">C17+1</f>
        <v>3</v>
      </c>
      <c r="D18" s="97" t="str">
        <f>IF(OR(D$9&gt;($C18+5),(D$9-$C18)&lt;0),"",_xlfn.XLOOKUP(D$9-$C17,$D$1:$I$1,$D$4:$I$4))</f>
        <v/>
      </c>
      <c r="E18" s="97" t="str">
        <f>IF(OR(E$9&gt;($C18+5),(E$9-$C18)&lt;0),"",_xlfn.XLOOKUP(E$9-$C17,$D$1:$I$1,$D$4:$I$4))</f>
        <v/>
      </c>
      <c r="F18" s="97">
        <f>IF(OR(F$9&gt;($C18+5),(F$9-$C18)&lt;0),"",_xlfn.XLOOKUP(F$9-$C17,$D$1:$I$1,$D$4:$I$4))</f>
        <v>0.75</v>
      </c>
      <c r="G18" s="97">
        <f>IF(OR(G$9&gt;($C18+5),(G$9-$C18)&lt;0),"",_xlfn.XLOOKUP(G$9-$C17,$D$1:$I$1,$D$4:$I$4))</f>
        <v>0.65</v>
      </c>
      <c r="H18" s="97">
        <f>IF(OR(H$9&gt;($C18+5),(H$9-$C18)&lt;0),"",_xlfn.XLOOKUP(H$9-$C17,$D$1:$I$1,$D$4:$I$4))</f>
        <v>0.55000000000000004</v>
      </c>
      <c r="I18" s="97">
        <f>IF(OR(I$9&gt;($C18+5),(I$9-$C18)&lt;0),"",_xlfn.XLOOKUP(I$9-$C17,$D$1:$I$1,$D$4:$I$4))</f>
        <v>0.12</v>
      </c>
      <c r="J18" s="97">
        <f>IF(OR(J$9&gt;($C18+5),(J$9-$C18)&lt;0),"",_xlfn.XLOOKUP(J$9-$C17,$D$1:$I$1,$D$4:$I$4))</f>
        <v>0.02</v>
      </c>
      <c r="K18" s="97">
        <f>IF(OR(K$9&gt;($C18+5),(K$9-$C18)&lt;0),"",_xlfn.XLOOKUP(K$9-$C17,$D$1:$I$1,$D$4:$I$4))</f>
        <v>0.03</v>
      </c>
      <c r="L18" s="97" t="str">
        <f>IF(OR(L$9&gt;($C18+5),(L$9-$C18)&lt;0),"",_xlfn.XLOOKUP(L$9-$C17,$D$1:$I$1,$D$4:$I$4))</f>
        <v/>
      </c>
      <c r="M18" s="97" t="str">
        <f>IF(OR(M$9&gt;($C18+5),(M$9-$C18)&lt;0),"",_xlfn.XLOOKUP(M$9-$C17,$D$1:$I$1,$D$4:$I$4))</f>
        <v/>
      </c>
      <c r="N18" s="97"/>
      <c r="O18" s="97"/>
      <c r="P18" s="97"/>
      <c r="Q18" s="97"/>
      <c r="R18" s="97"/>
      <c r="S18" s="97"/>
      <c r="T18" s="97"/>
      <c r="U18" s="97"/>
      <c r="V18" s="97"/>
      <c r="W18" s="97"/>
      <c r="X18" s="97"/>
      <c r="Y18" s="97"/>
      <c r="Z18" s="97"/>
      <c r="AA18" s="97"/>
    </row>
    <row r="19" spans="3:27" outlineLevel="1" x14ac:dyDescent="0.35">
      <c r="C19" s="93">
        <f t="shared" si="4"/>
        <v>4</v>
      </c>
      <c r="D19" s="97" t="str">
        <f>IF(OR(D$9&gt;($C19+5),(D$9-$C19)&lt;0),"",_xlfn.XLOOKUP(D$9-$C18,$D$1:$I$1,$D$4:$I$4))</f>
        <v/>
      </c>
      <c r="E19" s="97" t="str">
        <f>IF(OR(E$9&gt;($C19+5),(E$9-$C19)&lt;0),"",_xlfn.XLOOKUP(E$9-$C18,$D$1:$I$1,$D$4:$I$4))</f>
        <v/>
      </c>
      <c r="F19" s="97" t="str">
        <f>IF(OR(F$9&gt;($C19+5),(F$9-$C19)&lt;0),"",_xlfn.XLOOKUP(F$9-$C18,$D$1:$I$1,$D$4:$I$4))</f>
        <v/>
      </c>
      <c r="G19" s="97">
        <f>IF(OR(G$9&gt;($C19+5),(G$9-$C19)&lt;0),"",_xlfn.XLOOKUP(G$9-$C18,$D$1:$I$1,$D$4:$I$4))</f>
        <v>0.75</v>
      </c>
      <c r="H19" s="97">
        <f>IF(OR(H$9&gt;($C19+5),(H$9-$C19)&lt;0),"",_xlfn.XLOOKUP(H$9-$C18,$D$1:$I$1,$D$4:$I$4))</f>
        <v>0.65</v>
      </c>
      <c r="I19" s="97">
        <f>IF(OR(I$9&gt;($C19+5),(I$9-$C19)&lt;0),"",_xlfn.XLOOKUP(I$9-$C18,$D$1:$I$1,$D$4:$I$4))</f>
        <v>0.55000000000000004</v>
      </c>
      <c r="J19" s="97">
        <f>IF(OR(J$9&gt;($C19+5),(J$9-$C19)&lt;0),"",_xlfn.XLOOKUP(J$9-$C18,$D$1:$I$1,$D$4:$I$4))</f>
        <v>0.12</v>
      </c>
      <c r="K19" s="97">
        <f>IF(OR(K$9&gt;($C19+5),(K$9-$C19)&lt;0),"",_xlfn.XLOOKUP(K$9-$C18,$D$1:$I$1,$D$4:$I$4))</f>
        <v>0.02</v>
      </c>
      <c r="L19" s="97">
        <f>IF(OR(L$9&gt;($C19+5),(L$9-$C19)&lt;0),"",_xlfn.XLOOKUP(L$9-$C18,$D$1:$I$1,$D$4:$I$4))</f>
        <v>0.03</v>
      </c>
      <c r="M19" s="97" t="str">
        <f>IF(OR(M$9&gt;($C19+5),(M$9-$C19)&lt;0),"",_xlfn.XLOOKUP(M$9-$C18,$D$1:$I$1,$D$4:$I$4))</f>
        <v/>
      </c>
      <c r="N19" s="97"/>
      <c r="O19" s="97"/>
      <c r="P19" s="97"/>
      <c r="Q19" s="97"/>
      <c r="R19" s="97"/>
      <c r="S19" s="97"/>
      <c r="T19" s="97"/>
      <c r="U19" s="97"/>
      <c r="V19" s="97"/>
      <c r="W19" s="97"/>
      <c r="X19" s="97"/>
      <c r="Y19" s="97"/>
      <c r="Z19" s="97"/>
      <c r="AA19" s="97"/>
    </row>
    <row r="20" spans="3:27" outlineLevel="1" x14ac:dyDescent="0.35">
      <c r="C20" s="93">
        <f t="shared" si="4"/>
        <v>5</v>
      </c>
      <c r="D20" s="97" t="str">
        <f>IF(OR(D$9&gt;($C20+5),(D$9-$C20)&lt;0),"",_xlfn.XLOOKUP(D$9-$C19,$D$1:$I$1,$D$4:$I$4))</f>
        <v/>
      </c>
      <c r="E20" s="97" t="str">
        <f>IF(OR(E$9&gt;($C20+5),(E$9-$C20)&lt;0),"",_xlfn.XLOOKUP(E$9-$C19,$D$1:$I$1,$D$4:$I$4))</f>
        <v/>
      </c>
      <c r="F20" s="97" t="str">
        <f>IF(OR(F$9&gt;($C20+5),(F$9-$C20)&lt;0),"",_xlfn.XLOOKUP(F$9-$C19,$D$1:$I$1,$D$4:$I$4))</f>
        <v/>
      </c>
      <c r="G20" s="97" t="str">
        <f>IF(OR(G$9&gt;($C20+5),(G$9-$C20)&lt;0),"",_xlfn.XLOOKUP(G$9-$C19,$D$1:$I$1,$D$4:$I$4))</f>
        <v/>
      </c>
      <c r="H20" s="97">
        <f>IF(OR(H$9&gt;($C20+5),(H$9-$C20)&lt;0),"",_xlfn.XLOOKUP(H$9-$C19,$D$1:$I$1,$D$4:$I$4))</f>
        <v>0.75</v>
      </c>
      <c r="I20" s="97">
        <f>IF(OR(I$9&gt;($C20+5),(I$9-$C20)&lt;0),"",_xlfn.XLOOKUP(I$9-$C19,$D$1:$I$1,$D$4:$I$4))</f>
        <v>0.65</v>
      </c>
      <c r="J20" s="97">
        <f>IF(OR(J$9&gt;($C20+5),(J$9-$C20)&lt;0),"",_xlfn.XLOOKUP(J$9-$C19,$D$1:$I$1,$D$4:$I$4))</f>
        <v>0.55000000000000004</v>
      </c>
      <c r="K20" s="97">
        <f>IF(OR(K$9&gt;($C20+5),(K$9-$C20)&lt;0),"",_xlfn.XLOOKUP(K$9-$C19,$D$1:$I$1,$D$4:$I$4))</f>
        <v>0.12</v>
      </c>
      <c r="L20" s="97">
        <f>IF(OR(L$9&gt;($C20+5),(L$9-$C20)&lt;0),"",_xlfn.XLOOKUP(L$9-$C19,$D$1:$I$1,$D$4:$I$4))</f>
        <v>0.02</v>
      </c>
      <c r="M20" s="97">
        <f>IF(OR(M$9&gt;($C20+5),(M$9-$C20)&lt;0),"",_xlfn.XLOOKUP(M$9-$C19,$D$1:$I$1,$D$4:$I$4))</f>
        <v>0.03</v>
      </c>
      <c r="N20" s="97"/>
      <c r="O20" s="97"/>
      <c r="P20" s="97"/>
      <c r="Q20" s="97"/>
      <c r="R20" s="97"/>
      <c r="S20" s="97"/>
      <c r="T20" s="97"/>
      <c r="U20" s="97"/>
      <c r="V20" s="97"/>
      <c r="W20" s="97"/>
      <c r="X20" s="97"/>
      <c r="Y20" s="97"/>
      <c r="Z20" s="97"/>
      <c r="AA20" s="97"/>
    </row>
    <row r="21" spans="3:27" outlineLevel="1" x14ac:dyDescent="0.35">
      <c r="C21" s="93">
        <f t="shared" si="4"/>
        <v>6</v>
      </c>
      <c r="D21" s="97" t="str">
        <f>IF(OR(D$9&gt;($C21+5),(D$9-$C21)&lt;0),"",_xlfn.XLOOKUP(D$9-$C20,$D$1:$I$1,$D$4:$I$4))</f>
        <v/>
      </c>
      <c r="E21" s="97" t="str">
        <f>IF(OR(E$9&gt;($C21+5),(E$9-$C21)&lt;0),"",_xlfn.XLOOKUP(E$9-$C20,$D$1:$I$1,$D$4:$I$4))</f>
        <v/>
      </c>
      <c r="F21" s="97" t="str">
        <f>IF(OR(F$9&gt;($C21+5),(F$9-$C21)&lt;0),"",_xlfn.XLOOKUP(F$9-$C20,$D$1:$I$1,$D$4:$I$4))</f>
        <v/>
      </c>
      <c r="G21" s="97" t="str">
        <f>IF(OR(G$9&gt;($C21+5),(G$9-$C21)&lt;0),"",_xlfn.XLOOKUP(G$9-$C20,$D$1:$I$1,$D$4:$I$4))</f>
        <v/>
      </c>
      <c r="H21" s="97" t="str">
        <f>IF(OR(H$9&gt;($C21+5),(H$9-$C21)&lt;0),"",_xlfn.XLOOKUP(H$9-$C20,$D$1:$I$1,$D$4:$I$4))</f>
        <v/>
      </c>
      <c r="I21" s="97">
        <f>IF(OR(I$9&gt;($C21+5),(I$9-$C21)&lt;0),"",_xlfn.XLOOKUP(I$9-$C20,$D$1:$I$1,$D$4:$I$4))</f>
        <v>0.75</v>
      </c>
      <c r="J21" s="97">
        <f>IF(OR(J$9&gt;($C21+5),(J$9-$C21)&lt;0),"",_xlfn.XLOOKUP(J$9-$C20,$D$1:$I$1,$D$4:$I$4))</f>
        <v>0.65</v>
      </c>
      <c r="K21" s="97">
        <f>IF(OR(K$9&gt;($C21+5),(K$9-$C21)&lt;0),"",_xlfn.XLOOKUP(K$9-$C20,$D$1:$I$1,$D$4:$I$4))</f>
        <v>0.55000000000000004</v>
      </c>
      <c r="L21" s="97">
        <f>IF(OR(L$9&gt;($C21+5),(L$9-$C21)&lt;0),"",_xlfn.XLOOKUP(L$9-$C20,$D$1:$I$1,$D$4:$I$4))</f>
        <v>0.12</v>
      </c>
      <c r="M21" s="97">
        <f>IF(OR(M$9&gt;($C21+5),(M$9-$C21)&lt;0),"",_xlfn.XLOOKUP(M$9-$C20,$D$1:$I$1,$D$4:$I$4))</f>
        <v>0.02</v>
      </c>
      <c r="N21" s="97"/>
      <c r="O21" s="97"/>
      <c r="P21" s="97"/>
      <c r="Q21" s="97"/>
      <c r="R21" s="97"/>
      <c r="S21" s="97"/>
      <c r="T21" s="97"/>
      <c r="U21" s="97"/>
      <c r="V21" s="97"/>
      <c r="W21" s="97"/>
      <c r="X21" s="97"/>
      <c r="Y21" s="97"/>
      <c r="Z21" s="97"/>
      <c r="AA21" s="97"/>
    </row>
    <row r="22" spans="3:27" outlineLevel="1" x14ac:dyDescent="0.35">
      <c r="C22" s="93">
        <f t="shared" si="4"/>
        <v>7</v>
      </c>
      <c r="D22" s="97" t="str">
        <f>IF(OR(D$9&gt;($C22+5),(D$9-$C22)&lt;0),"",_xlfn.XLOOKUP(D$9-$C21,$D$1:$I$1,$D$4:$I$4))</f>
        <v/>
      </c>
      <c r="E22" s="97" t="str">
        <f>IF(OR(E$9&gt;($C22+5),(E$9-$C22)&lt;0),"",_xlfn.XLOOKUP(E$9-$C21,$D$1:$I$1,$D$4:$I$4))</f>
        <v/>
      </c>
      <c r="F22" s="97" t="str">
        <f>IF(OR(F$9&gt;($C22+5),(F$9-$C22)&lt;0),"",_xlfn.XLOOKUP(F$9-$C21,$D$1:$I$1,$D$4:$I$4))</f>
        <v/>
      </c>
      <c r="G22" s="97" t="str">
        <f>IF(OR(G$9&gt;($C22+5),(G$9-$C22)&lt;0),"",_xlfn.XLOOKUP(G$9-$C21,$D$1:$I$1,$D$4:$I$4))</f>
        <v/>
      </c>
      <c r="H22" s="97" t="str">
        <f>IF(OR(H$9&gt;($C22+5),(H$9-$C22)&lt;0),"",_xlfn.XLOOKUP(H$9-$C21,$D$1:$I$1,$D$4:$I$4))</f>
        <v/>
      </c>
      <c r="I22" s="97" t="str">
        <f>IF(OR(I$9&gt;($C22+5),(I$9-$C22)&lt;0),"",_xlfn.XLOOKUP(I$9-$C21,$D$1:$I$1,$D$4:$I$4))</f>
        <v/>
      </c>
      <c r="J22" s="97">
        <f>IF(OR(J$9&gt;($C22+5),(J$9-$C22)&lt;0),"",_xlfn.XLOOKUP(J$9-$C21,$D$1:$I$1,$D$4:$I$4))</f>
        <v>0.75</v>
      </c>
      <c r="K22" s="97">
        <f>IF(OR(K$9&gt;($C22+5),(K$9-$C22)&lt;0),"",_xlfn.XLOOKUP(K$9-$C21,$D$1:$I$1,$D$4:$I$4))</f>
        <v>0.65</v>
      </c>
      <c r="L22" s="97">
        <f>IF(OR(L$9&gt;($C22+5),(L$9-$C22)&lt;0),"",_xlfn.XLOOKUP(L$9-$C21,$D$1:$I$1,$D$4:$I$4))</f>
        <v>0.55000000000000004</v>
      </c>
      <c r="M22" s="97">
        <f>IF(OR(M$9&gt;($C22+5),(M$9-$C22)&lt;0),"",_xlfn.XLOOKUP(M$9-$C21,$D$1:$I$1,$D$4:$I$4))</f>
        <v>0.12</v>
      </c>
      <c r="N22" s="97"/>
      <c r="O22" s="97"/>
      <c r="P22" s="97"/>
      <c r="Q22" s="97"/>
      <c r="R22" s="97"/>
      <c r="S22" s="97"/>
      <c r="T22" s="97"/>
      <c r="U22" s="97"/>
      <c r="V22" s="97"/>
      <c r="W22" s="97"/>
      <c r="X22" s="97"/>
      <c r="Y22" s="97"/>
      <c r="Z22" s="97"/>
      <c r="AA22" s="97"/>
    </row>
    <row r="23" spans="3:27" outlineLevel="1" x14ac:dyDescent="0.35">
      <c r="C23" s="93">
        <f t="shared" si="4"/>
        <v>8</v>
      </c>
      <c r="D23" s="97" t="str">
        <f>IF(OR(D$9&gt;($C23+5),(D$9-$C23)&lt;0),"",_xlfn.XLOOKUP(D$9-$C22,$D$1:$I$1,$D$4:$I$4))</f>
        <v/>
      </c>
      <c r="E23" s="97" t="str">
        <f>IF(OR(E$9&gt;($C23+5),(E$9-$C23)&lt;0),"",_xlfn.XLOOKUP(E$9-$C22,$D$1:$I$1,$D$4:$I$4))</f>
        <v/>
      </c>
      <c r="F23" s="97" t="str">
        <f>IF(OR(F$9&gt;($C23+5),(F$9-$C23)&lt;0),"",_xlfn.XLOOKUP(F$9-$C22,$D$1:$I$1,$D$4:$I$4))</f>
        <v/>
      </c>
      <c r="G23" s="97" t="str">
        <f>IF(OR(G$9&gt;($C23+5),(G$9-$C23)&lt;0),"",_xlfn.XLOOKUP(G$9-$C22,$D$1:$I$1,$D$4:$I$4))</f>
        <v/>
      </c>
      <c r="H23" s="97" t="str">
        <f>IF(OR(H$9&gt;($C23+5),(H$9-$C23)&lt;0),"",_xlfn.XLOOKUP(H$9-$C22,$D$1:$I$1,$D$4:$I$4))</f>
        <v/>
      </c>
      <c r="I23" s="97" t="str">
        <f>IF(OR(I$9&gt;($C23+5),(I$9-$C23)&lt;0),"",_xlfn.XLOOKUP(I$9-$C22,$D$1:$I$1,$D$4:$I$4))</f>
        <v/>
      </c>
      <c r="J23" s="97" t="str">
        <f>IF(OR(J$9&gt;($C23+5),(J$9-$C23)&lt;0),"",_xlfn.XLOOKUP(J$9-$C22,$D$1:$I$1,$D$4:$I$4))</f>
        <v/>
      </c>
      <c r="K23" s="97">
        <f>IF(OR(K$9&gt;($C23+5),(K$9-$C23)&lt;0),"",_xlfn.XLOOKUP(K$9-$C22,$D$1:$I$1,$D$4:$I$4))</f>
        <v>0.75</v>
      </c>
      <c r="L23" s="97">
        <f>IF(OR(L$9&gt;($C23+5),(L$9-$C23)&lt;0),"",_xlfn.XLOOKUP(L$9-$C22,$D$1:$I$1,$D$4:$I$4))</f>
        <v>0.65</v>
      </c>
      <c r="M23" s="97">
        <f>IF(OR(M$9&gt;($C23+5),(M$9-$C23)&lt;0),"",_xlfn.XLOOKUP(M$9-$C22,$D$1:$I$1,$D$4:$I$4))</f>
        <v>0.55000000000000004</v>
      </c>
      <c r="N23" s="97"/>
      <c r="O23" s="97"/>
      <c r="P23" s="97"/>
      <c r="Q23" s="97"/>
      <c r="R23" s="97"/>
      <c r="S23" s="97"/>
      <c r="T23" s="97"/>
      <c r="U23" s="97"/>
      <c r="V23" s="97"/>
      <c r="W23" s="97"/>
      <c r="X23" s="97"/>
      <c r="Y23" s="97"/>
      <c r="Z23" s="97"/>
      <c r="AA23" s="97"/>
    </row>
    <row r="24" spans="3:27" outlineLevel="1" x14ac:dyDescent="0.35">
      <c r="C24" s="93">
        <f t="shared" si="4"/>
        <v>9</v>
      </c>
      <c r="D24" s="97" t="str">
        <f>IF(OR(D$9&gt;($C24+5),(D$9-$C24)&lt;0),"",_xlfn.XLOOKUP(D$9-$C23,$D$1:$I$1,$D$4:$I$4))</f>
        <v/>
      </c>
      <c r="E24" s="97" t="str">
        <f>IF(OR(E$9&gt;($C24+5),(E$9-$C24)&lt;0),"",_xlfn.XLOOKUP(E$9-$C23,$D$1:$I$1,$D$4:$I$4))</f>
        <v/>
      </c>
      <c r="F24" s="97" t="str">
        <f>IF(OR(F$9&gt;($C24+5),(F$9-$C24)&lt;0),"",_xlfn.XLOOKUP(F$9-$C23,$D$1:$I$1,$D$4:$I$4))</f>
        <v/>
      </c>
      <c r="G24" s="97" t="str">
        <f>IF(OR(G$9&gt;($C24+5),(G$9-$C24)&lt;0),"",_xlfn.XLOOKUP(G$9-$C23,$D$1:$I$1,$D$4:$I$4))</f>
        <v/>
      </c>
      <c r="H24" s="97" t="str">
        <f>IF(OR(H$9&gt;($C24+5),(H$9-$C24)&lt;0),"",_xlfn.XLOOKUP(H$9-$C23,$D$1:$I$1,$D$4:$I$4))</f>
        <v/>
      </c>
      <c r="I24" s="97" t="str">
        <f>IF(OR(I$9&gt;($C24+5),(I$9-$C24)&lt;0),"",_xlfn.XLOOKUP(I$9-$C23,$D$1:$I$1,$D$4:$I$4))</f>
        <v/>
      </c>
      <c r="J24" s="97" t="str">
        <f>IF(OR(J$9&gt;($C24+5),(J$9-$C24)&lt;0),"",_xlfn.XLOOKUP(J$9-$C23,$D$1:$I$1,$D$4:$I$4))</f>
        <v/>
      </c>
      <c r="K24" s="97" t="str">
        <f>IF(OR(K$9&gt;($C24+5),(K$9-$C24)&lt;0),"",_xlfn.XLOOKUP(K$9-$C23,$D$1:$I$1,$D$4:$I$4))</f>
        <v/>
      </c>
      <c r="L24" s="97">
        <f>IF(OR(L$9&gt;($C24+5),(L$9-$C24)&lt;0),"",_xlfn.XLOOKUP(L$9-$C23,$D$1:$I$1,$D$4:$I$4))</f>
        <v>0.75</v>
      </c>
      <c r="M24" s="97">
        <f>IF(OR(M$9&gt;($C24+5),(M$9-$C24)&lt;0),"",_xlfn.XLOOKUP(M$9-$C23,$D$1:$I$1,$D$4:$I$4))</f>
        <v>0.65</v>
      </c>
      <c r="N24" s="97"/>
      <c r="O24" s="97"/>
      <c r="P24" s="97"/>
      <c r="Q24" s="97"/>
      <c r="R24" s="97"/>
      <c r="S24" s="97"/>
      <c r="T24" s="97"/>
      <c r="U24" s="97"/>
      <c r="V24" s="97"/>
      <c r="W24" s="97"/>
      <c r="X24" s="97"/>
      <c r="Y24" s="97"/>
      <c r="Z24" s="97"/>
      <c r="AA24" s="97"/>
    </row>
    <row r="25" spans="3:27" outlineLevel="1" x14ac:dyDescent="0.35">
      <c r="C25" s="93">
        <f t="shared" si="4"/>
        <v>10</v>
      </c>
      <c r="D25" s="97" t="str">
        <f>IF(OR(D$9&gt;($C25+5),(D$9-$C25)&lt;0),"",_xlfn.XLOOKUP(D$9-$C24,$D$1:$I$1,$D$4:$I$4))</f>
        <v/>
      </c>
      <c r="E25" s="97" t="str">
        <f>IF(OR(E$9&gt;($C25+5),(E$9-$C25)&lt;0),"",_xlfn.XLOOKUP(E$9-$C24,$D$1:$I$1,$D$4:$I$4))</f>
        <v/>
      </c>
      <c r="F25" s="97" t="str">
        <f>IF(OR(F$9&gt;($C25+5),(F$9-$C25)&lt;0),"",_xlfn.XLOOKUP(F$9-$C24,$D$1:$I$1,$D$4:$I$4))</f>
        <v/>
      </c>
      <c r="G25" s="97" t="str">
        <f>IF(OR(G$9&gt;($C25+5),(G$9-$C25)&lt;0),"",_xlfn.XLOOKUP(G$9-$C24,$D$1:$I$1,$D$4:$I$4))</f>
        <v/>
      </c>
      <c r="H25" s="97" t="str">
        <f>IF(OR(H$9&gt;($C25+5),(H$9-$C25)&lt;0),"",_xlfn.XLOOKUP(H$9-$C24,$D$1:$I$1,$D$4:$I$4))</f>
        <v/>
      </c>
      <c r="I25" s="97" t="str">
        <f>IF(OR(I$9&gt;($C25+5),(I$9-$C25)&lt;0),"",_xlfn.XLOOKUP(I$9-$C24,$D$1:$I$1,$D$4:$I$4))</f>
        <v/>
      </c>
      <c r="J25" s="97" t="str">
        <f>IF(OR(J$9&gt;($C25+5),(J$9-$C25)&lt;0),"",_xlfn.XLOOKUP(J$9-$C24,$D$1:$I$1,$D$4:$I$4))</f>
        <v/>
      </c>
      <c r="K25" s="97" t="str">
        <f>IF(OR(K$9&gt;($C25+5),(K$9-$C25)&lt;0),"",_xlfn.XLOOKUP(K$9-$C24,$D$1:$I$1,$D$4:$I$4))</f>
        <v/>
      </c>
      <c r="L25" s="97" t="str">
        <f>IF(OR(L$9&gt;($C25+5),(L$9-$C25)&lt;0),"",_xlfn.XLOOKUP(L$9-$C24,$D$1:$I$1,$D$4:$I$4))</f>
        <v/>
      </c>
      <c r="M25" s="97">
        <f>IF(OR(M$9&gt;($C25+5),(M$9-$C25)&lt;0),"",_xlfn.XLOOKUP(M$9-$C24,$D$1:$I$1,$D$4:$I$4))</f>
        <v>0.75</v>
      </c>
      <c r="N25" s="97"/>
      <c r="O25" s="97"/>
      <c r="P25" s="97"/>
      <c r="Q25" s="97"/>
      <c r="R25" s="97"/>
      <c r="S25" s="97"/>
      <c r="T25" s="97"/>
      <c r="U25" s="97"/>
      <c r="V25" s="97"/>
      <c r="W25" s="97"/>
      <c r="X25" s="97"/>
      <c r="Y25" s="97"/>
      <c r="Z25" s="97"/>
      <c r="AA25" s="97"/>
    </row>
    <row r="26" spans="3:27" outlineLevel="1" x14ac:dyDescent="0.35">
      <c r="C26" s="93">
        <f t="shared" si="4"/>
        <v>11</v>
      </c>
      <c r="D26" s="97" t="str">
        <f>IF(OR(D$9&gt;($C26+5),(D$9-$C26)&lt;0),"",_xlfn.XLOOKUP(D$9-$C25,$D$1:$I$1,$D$4:$I$4))</f>
        <v/>
      </c>
      <c r="E26" s="97" t="str">
        <f>IF(OR(E$9&gt;($C26+5),(E$9-$C26)&lt;0),"",_xlfn.XLOOKUP(E$9-$C25,$D$1:$I$1,$D$4:$I$4))</f>
        <v/>
      </c>
      <c r="F26" s="97" t="str">
        <f>IF(OR(F$9&gt;($C26+5),(F$9-$C26)&lt;0),"",_xlfn.XLOOKUP(F$9-$C25,$D$1:$I$1,$D$4:$I$4))</f>
        <v/>
      </c>
      <c r="G26" s="97" t="str">
        <f>IF(OR(G$9&gt;($C26+5),(G$9-$C26)&lt;0),"",_xlfn.XLOOKUP(G$9-$C25,$D$1:$I$1,$D$4:$I$4))</f>
        <v/>
      </c>
      <c r="H26" s="97" t="str">
        <f>IF(OR(H$9&gt;($C26+5),(H$9-$C26)&lt;0),"",_xlfn.XLOOKUP(H$9-$C25,$D$1:$I$1,$D$4:$I$4))</f>
        <v/>
      </c>
      <c r="I26" s="97" t="str">
        <f>IF(OR(I$9&gt;($C26+5),(I$9-$C26)&lt;0),"",_xlfn.XLOOKUP(I$9-$C25,$D$1:$I$1,$D$4:$I$4))</f>
        <v/>
      </c>
      <c r="J26" s="97" t="str">
        <f>IF(OR(J$9&gt;($C26+5),(J$9-$C26)&lt;0),"",_xlfn.XLOOKUP(J$9-$C25,$D$1:$I$1,$D$4:$I$4))</f>
        <v/>
      </c>
      <c r="K26" s="97" t="str">
        <f>IF(OR(K$9&gt;($C26+5),(K$9-$C26)&lt;0),"",_xlfn.XLOOKUP(K$9-$C25,$D$1:$I$1,$D$4:$I$4))</f>
        <v/>
      </c>
      <c r="L26" s="97" t="str">
        <f>IF(OR(L$9&gt;($C26+5),(L$9-$C26)&lt;0),"",_xlfn.XLOOKUP(L$9-$C25,$D$1:$I$1,$D$4:$I$4))</f>
        <v/>
      </c>
      <c r="M26" s="97" t="str">
        <f>IF(OR(M$9&gt;($C26+5),(M$9-$C26)&lt;0),"",_xlfn.XLOOKUP(M$9-$C25,$D$1:$I$1,$D$4:$I$4))</f>
        <v/>
      </c>
      <c r="N26" s="97"/>
      <c r="O26" s="97"/>
      <c r="P26" s="97"/>
      <c r="Q26" s="97"/>
      <c r="R26" s="97"/>
      <c r="S26" s="97"/>
      <c r="T26" s="97"/>
      <c r="U26" s="97"/>
      <c r="V26" s="97"/>
      <c r="W26" s="97"/>
      <c r="X26" s="97"/>
      <c r="Y26" s="97"/>
      <c r="Z26" s="97"/>
      <c r="AA26" s="97"/>
    </row>
    <row r="27" spans="3:27" outlineLevel="1" x14ac:dyDescent="0.35">
      <c r="C27" s="93">
        <f t="shared" si="4"/>
        <v>12</v>
      </c>
      <c r="D27" s="97" t="str">
        <f>IF(OR(D$9&gt;($C27+5),(D$9-$C27)&lt;0),"",_xlfn.XLOOKUP(D$9-$C26,$D$1:$I$1,$D$4:$I$4))</f>
        <v/>
      </c>
      <c r="E27" s="97" t="str">
        <f>IF(OR(E$9&gt;($C27+5),(E$9-$C27)&lt;0),"",_xlfn.XLOOKUP(E$9-$C26,$D$1:$I$1,$D$4:$I$4))</f>
        <v/>
      </c>
      <c r="F27" s="97" t="str">
        <f>IF(OR(F$9&gt;($C27+5),(F$9-$C27)&lt;0),"",_xlfn.XLOOKUP(F$9-$C26,$D$1:$I$1,$D$4:$I$4))</f>
        <v/>
      </c>
      <c r="G27" s="97" t="str">
        <f>IF(OR(G$9&gt;($C27+5),(G$9-$C27)&lt;0),"",_xlfn.XLOOKUP(G$9-$C26,$D$1:$I$1,$D$4:$I$4))</f>
        <v/>
      </c>
      <c r="H27" s="97" t="str">
        <f>IF(OR(H$9&gt;($C27+5),(H$9-$C27)&lt;0),"",_xlfn.XLOOKUP(H$9-$C26,$D$1:$I$1,$D$4:$I$4))</f>
        <v/>
      </c>
      <c r="I27" s="97" t="str">
        <f>IF(OR(I$9&gt;($C27+5),(I$9-$C27)&lt;0),"",_xlfn.XLOOKUP(I$9-$C26,$D$1:$I$1,$D$4:$I$4))</f>
        <v/>
      </c>
      <c r="J27" s="97" t="str">
        <f>IF(OR(J$9&gt;($C27+5),(J$9-$C27)&lt;0),"",_xlfn.XLOOKUP(J$9-$C26,$D$1:$I$1,$D$4:$I$4))</f>
        <v/>
      </c>
      <c r="K27" s="97" t="str">
        <f>IF(OR(K$9&gt;($C27+5),(K$9-$C27)&lt;0),"",_xlfn.XLOOKUP(K$9-$C26,$D$1:$I$1,$D$4:$I$4))</f>
        <v/>
      </c>
      <c r="L27" s="97" t="str">
        <f>IF(OR(L$9&gt;($C27+5),(L$9-$C27)&lt;0),"",_xlfn.XLOOKUP(L$9-$C26,$D$1:$I$1,$D$4:$I$4))</f>
        <v/>
      </c>
      <c r="M27" s="97" t="str">
        <f>IF(OR(M$9&gt;($C27+5),(M$9-$C27)&lt;0),"",_xlfn.XLOOKUP(M$9-$C26,$D$1:$I$1,$D$4:$I$4))</f>
        <v/>
      </c>
      <c r="N27" s="97"/>
      <c r="O27" s="97"/>
      <c r="P27" s="97"/>
      <c r="Q27" s="97"/>
      <c r="R27" s="97"/>
      <c r="S27" s="97"/>
      <c r="T27" s="97"/>
      <c r="U27" s="97"/>
      <c r="V27" s="97"/>
      <c r="W27" s="97"/>
      <c r="X27" s="97"/>
      <c r="Y27" s="97"/>
      <c r="Z27" s="97"/>
      <c r="AA27" s="97"/>
    </row>
    <row r="28" spans="3:27" outlineLevel="1" x14ac:dyDescent="0.35">
      <c r="C28" s="93">
        <f t="shared" si="4"/>
        <v>13</v>
      </c>
      <c r="D28" s="97" t="str">
        <f>IF(OR(D$9&gt;($C28+5),(D$9-$C28)&lt;0),"",_xlfn.XLOOKUP(D$9-$C27,$D$1:$I$1,$D$4:$I$4))</f>
        <v/>
      </c>
      <c r="E28" s="97" t="str">
        <f>IF(OR(E$9&gt;($C28+5),(E$9-$C28)&lt;0),"",_xlfn.XLOOKUP(E$9-$C27,$D$1:$I$1,$D$4:$I$4))</f>
        <v/>
      </c>
      <c r="F28" s="97" t="str">
        <f>IF(OR(F$9&gt;($C28+5),(F$9-$C28)&lt;0),"",_xlfn.XLOOKUP(F$9-$C27,$D$1:$I$1,$D$4:$I$4))</f>
        <v/>
      </c>
      <c r="G28" s="97" t="str">
        <f>IF(OR(G$9&gt;($C28+5),(G$9-$C28)&lt;0),"",_xlfn.XLOOKUP(G$9-$C27,$D$1:$I$1,$D$4:$I$4))</f>
        <v/>
      </c>
      <c r="H28" s="97" t="str">
        <f>IF(OR(H$9&gt;($C28+5),(H$9-$C28)&lt;0),"",_xlfn.XLOOKUP(H$9-$C27,$D$1:$I$1,$D$4:$I$4))</f>
        <v/>
      </c>
      <c r="I28" s="97" t="str">
        <f>IF(OR(I$9&gt;($C28+5),(I$9-$C28)&lt;0),"",_xlfn.XLOOKUP(I$9-$C27,$D$1:$I$1,$D$4:$I$4))</f>
        <v/>
      </c>
      <c r="J28" s="97" t="str">
        <f>IF(OR(J$9&gt;($C28+5),(J$9-$C28)&lt;0),"",_xlfn.XLOOKUP(J$9-$C27,$D$1:$I$1,$D$4:$I$4))</f>
        <v/>
      </c>
      <c r="K28" s="97" t="str">
        <f>IF(OR(K$9&gt;($C28+5),(K$9-$C28)&lt;0),"",_xlfn.XLOOKUP(K$9-$C27,$D$1:$I$1,$D$4:$I$4))</f>
        <v/>
      </c>
      <c r="L28" s="97" t="str">
        <f>IF(OR(L$9&gt;($C28+5),(L$9-$C28)&lt;0),"",_xlfn.XLOOKUP(L$9-$C27,$D$1:$I$1,$D$4:$I$4))</f>
        <v/>
      </c>
      <c r="M28" s="97" t="str">
        <f>IF(OR(M$9&gt;($C28+5),(M$9-$C28)&lt;0),"",_xlfn.XLOOKUP(M$9-$C27,$D$1:$I$1,$D$4:$I$4))</f>
        <v/>
      </c>
      <c r="N28" s="97"/>
      <c r="O28" s="97"/>
      <c r="P28" s="97"/>
      <c r="Q28" s="97"/>
      <c r="R28" s="97"/>
      <c r="S28" s="97"/>
      <c r="T28" s="97"/>
      <c r="U28" s="97"/>
      <c r="V28" s="97"/>
      <c r="W28" s="97"/>
      <c r="X28" s="97"/>
      <c r="Y28" s="97"/>
      <c r="Z28" s="97"/>
      <c r="AA28" s="97"/>
    </row>
    <row r="29" spans="3:27" outlineLevel="1" x14ac:dyDescent="0.35">
      <c r="C29" s="93">
        <f t="shared" si="4"/>
        <v>14</v>
      </c>
      <c r="D29" s="97" t="str">
        <f>IF(OR(D$9&gt;($C29+5),(D$9-$C29)&lt;0),"",_xlfn.XLOOKUP(D$9-$C28,$D$1:$I$1,$D$4:$I$4))</f>
        <v/>
      </c>
      <c r="E29" s="97" t="str">
        <f>IF(OR(E$9&gt;($C29+5),(E$9-$C29)&lt;0),"",_xlfn.XLOOKUP(E$9-$C28,$D$1:$I$1,$D$4:$I$4))</f>
        <v/>
      </c>
      <c r="F29" s="97" t="str">
        <f>IF(OR(F$9&gt;($C29+5),(F$9-$C29)&lt;0),"",_xlfn.XLOOKUP(F$9-$C28,$D$1:$I$1,$D$4:$I$4))</f>
        <v/>
      </c>
      <c r="G29" s="97" t="str">
        <f>IF(OR(G$9&gt;($C29+5),(G$9-$C29)&lt;0),"",_xlfn.XLOOKUP(G$9-$C28,$D$1:$I$1,$D$4:$I$4))</f>
        <v/>
      </c>
      <c r="H29" s="97" t="str">
        <f>IF(OR(H$9&gt;($C29+5),(H$9-$C29)&lt;0),"",_xlfn.XLOOKUP(H$9-$C28,$D$1:$I$1,$D$4:$I$4))</f>
        <v/>
      </c>
      <c r="I29" s="97" t="str">
        <f>IF(OR(I$9&gt;($C29+5),(I$9-$C29)&lt;0),"",_xlfn.XLOOKUP(I$9-$C28,$D$1:$I$1,$D$4:$I$4))</f>
        <v/>
      </c>
      <c r="J29" s="97" t="str">
        <f>IF(OR(J$9&gt;($C29+5),(J$9-$C29)&lt;0),"",_xlfn.XLOOKUP(J$9-$C28,$D$1:$I$1,$D$4:$I$4))</f>
        <v/>
      </c>
      <c r="K29" s="97" t="str">
        <f>IF(OR(K$9&gt;($C29+5),(K$9-$C29)&lt;0),"",_xlfn.XLOOKUP(K$9-$C28,$D$1:$I$1,$D$4:$I$4))</f>
        <v/>
      </c>
      <c r="L29" s="97" t="str">
        <f>IF(OR(L$9&gt;($C29+5),(L$9-$C29)&lt;0),"",_xlfn.XLOOKUP(L$9-$C28,$D$1:$I$1,$D$4:$I$4))</f>
        <v/>
      </c>
      <c r="M29" s="97" t="str">
        <f>IF(OR(M$9&gt;($C29+5),(M$9-$C29)&lt;0),"",_xlfn.XLOOKUP(M$9-$C28,$D$1:$I$1,$D$4:$I$4))</f>
        <v/>
      </c>
      <c r="N29" s="97"/>
      <c r="O29" s="97"/>
      <c r="P29" s="97"/>
      <c r="Q29" s="97"/>
      <c r="R29" s="97"/>
      <c r="S29" s="97"/>
      <c r="T29" s="97"/>
      <c r="U29" s="97"/>
      <c r="V29" s="97"/>
      <c r="W29" s="97"/>
      <c r="X29" s="97"/>
      <c r="Y29" s="97"/>
      <c r="Z29" s="97"/>
      <c r="AA29" s="97"/>
    </row>
    <row r="30" spans="3:27" outlineLevel="1" x14ac:dyDescent="0.35">
      <c r="C30" s="93">
        <f t="shared" si="4"/>
        <v>15</v>
      </c>
      <c r="D30" s="97" t="str">
        <f>IF(OR(D$9&gt;($C30+5),(D$9-$C30)&lt;0),"",_xlfn.XLOOKUP(D$9-$C29,$D$1:$I$1,$D$4:$I$4))</f>
        <v/>
      </c>
      <c r="E30" s="97" t="str">
        <f>IF(OR(E$9&gt;($C30+5),(E$9-$C30)&lt;0),"",_xlfn.XLOOKUP(E$9-$C29,$D$1:$I$1,$D$4:$I$4))</f>
        <v/>
      </c>
      <c r="F30" s="97" t="str">
        <f>IF(OR(F$9&gt;($C30+5),(F$9-$C30)&lt;0),"",_xlfn.XLOOKUP(F$9-$C29,$D$1:$I$1,$D$4:$I$4))</f>
        <v/>
      </c>
      <c r="G30" s="97" t="str">
        <f>IF(OR(G$9&gt;($C30+5),(G$9-$C30)&lt;0),"",_xlfn.XLOOKUP(G$9-$C29,$D$1:$I$1,$D$4:$I$4))</f>
        <v/>
      </c>
      <c r="H30" s="97" t="str">
        <f>IF(OR(H$9&gt;($C30+5),(H$9-$C30)&lt;0),"",_xlfn.XLOOKUP(H$9-$C29,$D$1:$I$1,$D$4:$I$4))</f>
        <v/>
      </c>
      <c r="I30" s="97" t="str">
        <f>IF(OR(I$9&gt;($C30+5),(I$9-$C30)&lt;0),"",_xlfn.XLOOKUP(I$9-$C29,$D$1:$I$1,$D$4:$I$4))</f>
        <v/>
      </c>
      <c r="J30" s="97" t="str">
        <f>IF(OR(J$9&gt;($C30+5),(J$9-$C30)&lt;0),"",_xlfn.XLOOKUP(J$9-$C29,$D$1:$I$1,$D$4:$I$4))</f>
        <v/>
      </c>
      <c r="K30" s="97" t="str">
        <f>IF(OR(K$9&gt;($C30+5),(K$9-$C30)&lt;0),"",_xlfn.XLOOKUP(K$9-$C29,$D$1:$I$1,$D$4:$I$4))</f>
        <v/>
      </c>
      <c r="L30" s="97" t="str">
        <f>IF(OR(L$9&gt;($C30+5),(L$9-$C30)&lt;0),"",_xlfn.XLOOKUP(L$9-$C29,$D$1:$I$1,$D$4:$I$4))</f>
        <v/>
      </c>
      <c r="M30" s="97" t="str">
        <f>IF(OR(M$9&gt;($C30+5),(M$9-$C30)&lt;0),"",_xlfn.XLOOKUP(M$9-$C29,$D$1:$I$1,$D$4:$I$4))</f>
        <v/>
      </c>
      <c r="N30" s="97"/>
      <c r="O30" s="97"/>
      <c r="P30" s="97"/>
      <c r="Q30" s="97"/>
      <c r="R30" s="97"/>
      <c r="S30" s="97"/>
      <c r="T30" s="97"/>
      <c r="U30" s="97"/>
      <c r="V30" s="97"/>
      <c r="W30" s="97"/>
      <c r="X30" s="97"/>
      <c r="Y30" s="97"/>
      <c r="Z30" s="97"/>
      <c r="AA30" s="97"/>
    </row>
    <row r="31" spans="3:27" outlineLevel="1" x14ac:dyDescent="0.35">
      <c r="C31" s="93">
        <f t="shared" si="4"/>
        <v>16</v>
      </c>
      <c r="D31" s="97" t="str">
        <f>IF(OR(D$9&gt;($C31+5),(D$9-$C31)&lt;0),"",_xlfn.XLOOKUP(D$9-$C30,$D$1:$I$1,$D$4:$I$4))</f>
        <v/>
      </c>
      <c r="E31" s="97" t="str">
        <f>IF(OR(E$9&gt;($C31+5),(E$9-$C31)&lt;0),"",_xlfn.XLOOKUP(E$9-$C30,$D$1:$I$1,$D$4:$I$4))</f>
        <v/>
      </c>
      <c r="F31" s="97" t="str">
        <f>IF(OR(F$9&gt;($C31+5),(F$9-$C31)&lt;0),"",_xlfn.XLOOKUP(F$9-$C30,$D$1:$I$1,$D$4:$I$4))</f>
        <v/>
      </c>
      <c r="G31" s="97" t="str">
        <f>IF(OR(G$9&gt;($C31+5),(G$9-$C31)&lt;0),"",_xlfn.XLOOKUP(G$9-$C30,$D$1:$I$1,$D$4:$I$4))</f>
        <v/>
      </c>
      <c r="H31" s="97" t="str">
        <f>IF(OR(H$9&gt;($C31+5),(H$9-$C31)&lt;0),"",_xlfn.XLOOKUP(H$9-$C30,$D$1:$I$1,$D$4:$I$4))</f>
        <v/>
      </c>
      <c r="I31" s="97" t="str">
        <f>IF(OR(I$9&gt;($C31+5),(I$9-$C31)&lt;0),"",_xlfn.XLOOKUP(I$9-$C30,$D$1:$I$1,$D$4:$I$4))</f>
        <v/>
      </c>
      <c r="J31" s="97" t="str">
        <f>IF(OR(J$9&gt;($C31+5),(J$9-$C31)&lt;0),"",_xlfn.XLOOKUP(J$9-$C30,$D$1:$I$1,$D$4:$I$4))</f>
        <v/>
      </c>
      <c r="K31" s="97" t="str">
        <f>IF(OR(K$9&gt;($C31+5),(K$9-$C31)&lt;0),"",_xlfn.XLOOKUP(K$9-$C30,$D$1:$I$1,$D$4:$I$4))</f>
        <v/>
      </c>
      <c r="L31" s="97" t="str">
        <f>IF(OR(L$9&gt;($C31+5),(L$9-$C31)&lt;0),"",_xlfn.XLOOKUP(L$9-$C30,$D$1:$I$1,$D$4:$I$4))</f>
        <v/>
      </c>
      <c r="M31" s="97" t="str">
        <f>IF(OR(M$9&gt;($C31+5),(M$9-$C31)&lt;0),"",_xlfn.XLOOKUP(M$9-$C30,$D$1:$I$1,$D$4:$I$4))</f>
        <v/>
      </c>
      <c r="N31" s="97"/>
      <c r="O31" s="97"/>
      <c r="P31" s="97"/>
      <c r="Q31" s="97"/>
      <c r="R31" s="97"/>
      <c r="S31" s="97"/>
      <c r="T31" s="97"/>
      <c r="U31" s="97"/>
      <c r="V31" s="97"/>
      <c r="W31" s="97"/>
      <c r="X31" s="97"/>
      <c r="Y31" s="97"/>
      <c r="Z31" s="97"/>
      <c r="AA31" s="97"/>
    </row>
    <row r="32" spans="3:27" outlineLevel="1" x14ac:dyDescent="0.35">
      <c r="C32" s="93">
        <f t="shared" si="4"/>
        <v>17</v>
      </c>
      <c r="D32" s="97" t="str">
        <f>IF(OR(D$9&gt;($C32+5),(D$9-$C32)&lt;0),"",_xlfn.XLOOKUP(D$9-$C31,$D$1:$I$1,$D$4:$I$4))</f>
        <v/>
      </c>
      <c r="E32" s="97" t="str">
        <f>IF(OR(E$9&gt;($C32+5),(E$9-$C32)&lt;0),"",_xlfn.XLOOKUP(E$9-$C31,$D$1:$I$1,$D$4:$I$4))</f>
        <v/>
      </c>
      <c r="F32" s="97" t="str">
        <f>IF(OR(F$9&gt;($C32+5),(F$9-$C32)&lt;0),"",_xlfn.XLOOKUP(F$9-$C31,$D$1:$I$1,$D$4:$I$4))</f>
        <v/>
      </c>
      <c r="G32" s="97" t="str">
        <f>IF(OR(G$9&gt;($C32+5),(G$9-$C32)&lt;0),"",_xlfn.XLOOKUP(G$9-$C31,$D$1:$I$1,$D$4:$I$4))</f>
        <v/>
      </c>
      <c r="H32" s="97" t="str">
        <f>IF(OR(H$9&gt;($C32+5),(H$9-$C32)&lt;0),"",_xlfn.XLOOKUP(H$9-$C31,$D$1:$I$1,$D$4:$I$4))</f>
        <v/>
      </c>
      <c r="I32" s="97" t="str">
        <f>IF(OR(I$9&gt;($C32+5),(I$9-$C32)&lt;0),"",_xlfn.XLOOKUP(I$9-$C31,$D$1:$I$1,$D$4:$I$4))</f>
        <v/>
      </c>
      <c r="J32" s="97" t="str">
        <f>IF(OR(J$9&gt;($C32+5),(J$9-$C32)&lt;0),"",_xlfn.XLOOKUP(J$9-$C31,$D$1:$I$1,$D$4:$I$4))</f>
        <v/>
      </c>
      <c r="K32" s="97" t="str">
        <f>IF(OR(K$9&gt;($C32+5),(K$9-$C32)&lt;0),"",_xlfn.XLOOKUP(K$9-$C31,$D$1:$I$1,$D$4:$I$4))</f>
        <v/>
      </c>
      <c r="L32" s="97" t="str">
        <f>IF(OR(L$9&gt;($C32+5),(L$9-$C32)&lt;0),"",_xlfn.XLOOKUP(L$9-$C31,$D$1:$I$1,$D$4:$I$4))</f>
        <v/>
      </c>
      <c r="M32" s="97" t="str">
        <f>IF(OR(M$9&gt;($C32+5),(M$9-$C32)&lt;0),"",_xlfn.XLOOKUP(M$9-$C31,$D$1:$I$1,$D$4:$I$4))</f>
        <v/>
      </c>
      <c r="N32" s="97"/>
      <c r="O32" s="97"/>
      <c r="P32" s="97"/>
      <c r="Q32" s="97"/>
      <c r="R32" s="97"/>
      <c r="S32" s="97"/>
      <c r="T32" s="97"/>
      <c r="U32" s="97"/>
      <c r="V32" s="97"/>
      <c r="W32" s="97"/>
      <c r="X32" s="97"/>
      <c r="Y32" s="97"/>
      <c r="Z32" s="97"/>
      <c r="AA32" s="97"/>
    </row>
    <row r="33" spans="3:27" outlineLevel="1" x14ac:dyDescent="0.35">
      <c r="C33" s="93">
        <f t="shared" si="4"/>
        <v>18</v>
      </c>
      <c r="D33" s="97" t="str">
        <f>IF(OR(D$9&gt;($C33+5),(D$9-$C33)&lt;0),"",_xlfn.XLOOKUP(D$9-$C32,$D$1:$I$1,$D$4:$I$4))</f>
        <v/>
      </c>
      <c r="E33" s="97" t="str">
        <f>IF(OR(E$9&gt;($C33+5),(E$9-$C33)&lt;0),"",_xlfn.XLOOKUP(E$9-$C32,$D$1:$I$1,$D$4:$I$4))</f>
        <v/>
      </c>
      <c r="F33" s="97" t="str">
        <f>IF(OR(F$9&gt;($C33+5),(F$9-$C33)&lt;0),"",_xlfn.XLOOKUP(F$9-$C32,$D$1:$I$1,$D$4:$I$4))</f>
        <v/>
      </c>
      <c r="G33" s="97" t="str">
        <f>IF(OR(G$9&gt;($C33+5),(G$9-$C33)&lt;0),"",_xlfn.XLOOKUP(G$9-$C32,$D$1:$I$1,$D$4:$I$4))</f>
        <v/>
      </c>
      <c r="H33" s="97" t="str">
        <f>IF(OR(H$9&gt;($C33+5),(H$9-$C33)&lt;0),"",_xlfn.XLOOKUP(H$9-$C32,$D$1:$I$1,$D$4:$I$4))</f>
        <v/>
      </c>
      <c r="I33" s="97" t="str">
        <f>IF(OR(I$9&gt;($C33+5),(I$9-$C33)&lt;0),"",_xlfn.XLOOKUP(I$9-$C32,$D$1:$I$1,$D$4:$I$4))</f>
        <v/>
      </c>
      <c r="J33" s="97" t="str">
        <f>IF(OR(J$9&gt;($C33+5),(J$9-$C33)&lt;0),"",_xlfn.XLOOKUP(J$9-$C32,$D$1:$I$1,$D$4:$I$4))</f>
        <v/>
      </c>
      <c r="K33" s="97" t="str">
        <f>IF(OR(K$9&gt;($C33+5),(K$9-$C33)&lt;0),"",_xlfn.XLOOKUP(K$9-$C32,$D$1:$I$1,$D$4:$I$4))</f>
        <v/>
      </c>
      <c r="L33" s="97" t="str">
        <f>IF(OR(L$9&gt;($C33+5),(L$9-$C33)&lt;0),"",_xlfn.XLOOKUP(L$9-$C32,$D$1:$I$1,$D$4:$I$4))</f>
        <v/>
      </c>
      <c r="M33" s="97" t="str">
        <f>IF(OR(M$9&gt;($C33+5),(M$9-$C33)&lt;0),"",_xlfn.XLOOKUP(M$9-$C32,$D$1:$I$1,$D$4:$I$4))</f>
        <v/>
      </c>
      <c r="N33" s="97"/>
      <c r="O33" s="97"/>
      <c r="P33" s="97"/>
      <c r="Q33" s="97"/>
      <c r="R33" s="97"/>
      <c r="S33" s="97"/>
      <c r="T33" s="97"/>
      <c r="U33" s="97"/>
      <c r="V33" s="97"/>
      <c r="W33" s="97"/>
      <c r="X33" s="97"/>
      <c r="Y33" s="97"/>
      <c r="Z33" s="97"/>
      <c r="AA33" s="97"/>
    </row>
    <row r="34" spans="3:27" outlineLevel="1" x14ac:dyDescent="0.35">
      <c r="C34" s="93">
        <f t="shared" si="4"/>
        <v>19</v>
      </c>
      <c r="D34" s="97" t="str">
        <f>IF(OR(D$9&gt;($C34+5),(D$9-$C34)&lt;0),"",_xlfn.XLOOKUP(D$9-$C33,$D$1:$I$1,$D$4:$I$4))</f>
        <v/>
      </c>
      <c r="E34" s="97" t="str">
        <f>IF(OR(E$9&gt;($C34+5),(E$9-$C34)&lt;0),"",_xlfn.XLOOKUP(E$9-$C33,$D$1:$I$1,$D$4:$I$4))</f>
        <v/>
      </c>
      <c r="F34" s="97" t="str">
        <f>IF(OR(F$9&gt;($C34+5),(F$9-$C34)&lt;0),"",_xlfn.XLOOKUP(F$9-$C33,$D$1:$I$1,$D$4:$I$4))</f>
        <v/>
      </c>
      <c r="G34" s="97" t="str">
        <f>IF(OR(G$9&gt;($C34+5),(G$9-$C34)&lt;0),"",_xlfn.XLOOKUP(G$9-$C33,$D$1:$I$1,$D$4:$I$4))</f>
        <v/>
      </c>
      <c r="H34" s="97" t="str">
        <f>IF(OR(H$9&gt;($C34+5),(H$9-$C34)&lt;0),"",_xlfn.XLOOKUP(H$9-$C33,$D$1:$I$1,$D$4:$I$4))</f>
        <v/>
      </c>
      <c r="I34" s="97" t="str">
        <f>IF(OR(I$9&gt;($C34+5),(I$9-$C34)&lt;0),"",_xlfn.XLOOKUP(I$9-$C33,$D$1:$I$1,$D$4:$I$4))</f>
        <v/>
      </c>
      <c r="J34" s="97" t="str">
        <f>IF(OR(J$9&gt;($C34+5),(J$9-$C34)&lt;0),"",_xlfn.XLOOKUP(J$9-$C33,$D$1:$I$1,$D$4:$I$4))</f>
        <v/>
      </c>
      <c r="K34" s="97" t="str">
        <f>IF(OR(K$9&gt;($C34+5),(K$9-$C34)&lt;0),"",_xlfn.XLOOKUP(K$9-$C33,$D$1:$I$1,$D$4:$I$4))</f>
        <v/>
      </c>
      <c r="L34" s="97" t="str">
        <f>IF(OR(L$9&gt;($C34+5),(L$9-$C34)&lt;0),"",_xlfn.XLOOKUP(L$9-$C33,$D$1:$I$1,$D$4:$I$4))</f>
        <v/>
      </c>
      <c r="M34" s="97" t="str">
        <f>IF(OR(M$9&gt;($C34+5),(M$9-$C34)&lt;0),"",_xlfn.XLOOKUP(M$9-$C33,$D$1:$I$1,$D$4:$I$4))</f>
        <v/>
      </c>
      <c r="N34" s="97"/>
      <c r="O34" s="97"/>
      <c r="P34" s="97"/>
      <c r="Q34" s="97"/>
      <c r="R34" s="97"/>
      <c r="S34" s="97"/>
      <c r="T34" s="97"/>
      <c r="U34" s="97"/>
      <c r="V34" s="97"/>
      <c r="W34" s="97"/>
      <c r="X34" s="97"/>
      <c r="Y34" s="97"/>
      <c r="Z34" s="97"/>
      <c r="AA34" s="97"/>
    </row>
    <row r="35" spans="3:27" outlineLevel="1" x14ac:dyDescent="0.35">
      <c r="C35" s="93">
        <f t="shared" si="4"/>
        <v>20</v>
      </c>
      <c r="D35" s="97" t="str">
        <f>IF(OR(D$9&gt;($C35+5),(D$9-$C35)&lt;0),"",_xlfn.XLOOKUP(D$9-$C34,$D$1:$I$1,$D$4:$I$4))</f>
        <v/>
      </c>
      <c r="E35" s="97" t="str">
        <f>IF(OR(E$9&gt;($C35+5),(E$9-$C35)&lt;0),"",_xlfn.XLOOKUP(E$9-$C34,$D$1:$I$1,$D$4:$I$4))</f>
        <v/>
      </c>
      <c r="F35" s="97" t="str">
        <f>IF(OR(F$9&gt;($C35+5),(F$9-$C35)&lt;0),"",_xlfn.XLOOKUP(F$9-$C34,$D$1:$I$1,$D$4:$I$4))</f>
        <v/>
      </c>
      <c r="G35" s="97" t="str">
        <f>IF(OR(G$9&gt;($C35+5),(G$9-$C35)&lt;0),"",_xlfn.XLOOKUP(G$9-$C34,$D$1:$I$1,$D$4:$I$4))</f>
        <v/>
      </c>
      <c r="H35" s="97" t="str">
        <f>IF(OR(H$9&gt;($C35+5),(H$9-$C35)&lt;0),"",_xlfn.XLOOKUP(H$9-$C34,$D$1:$I$1,$D$4:$I$4))</f>
        <v/>
      </c>
      <c r="I35" s="97" t="str">
        <f>IF(OR(I$9&gt;($C35+5),(I$9-$C35)&lt;0),"",_xlfn.XLOOKUP(I$9-$C34,$D$1:$I$1,$D$4:$I$4))</f>
        <v/>
      </c>
      <c r="J35" s="97" t="str">
        <f>IF(OR(J$9&gt;($C35+5),(J$9-$C35)&lt;0),"",_xlfn.XLOOKUP(J$9-$C34,$D$1:$I$1,$D$4:$I$4))</f>
        <v/>
      </c>
      <c r="K35" s="97" t="str">
        <f>IF(OR(K$9&gt;($C35+5),(K$9-$C35)&lt;0),"",_xlfn.XLOOKUP(K$9-$C34,$D$1:$I$1,$D$4:$I$4))</f>
        <v/>
      </c>
      <c r="L35" s="97" t="str">
        <f>IF(OR(L$9&gt;($C35+5),(L$9-$C35)&lt;0),"",_xlfn.XLOOKUP(L$9-$C34,$D$1:$I$1,$D$4:$I$4))</f>
        <v/>
      </c>
      <c r="M35" s="97" t="str">
        <f>IF(OR(M$9&gt;($C35+5),(M$9-$C35)&lt;0),"",_xlfn.XLOOKUP(M$9-$C34,$D$1:$I$1,$D$4:$I$4))</f>
        <v/>
      </c>
      <c r="N35" s="97"/>
      <c r="O35" s="97"/>
      <c r="P35" s="97"/>
      <c r="Q35" s="97"/>
      <c r="R35" s="97"/>
      <c r="S35" s="97"/>
      <c r="T35" s="97"/>
      <c r="U35" s="97"/>
      <c r="V35" s="97"/>
      <c r="W35" s="97"/>
      <c r="X35" s="97"/>
      <c r="Y35" s="97"/>
      <c r="Z35" s="97"/>
      <c r="AA35" s="97"/>
    </row>
    <row r="36" spans="3:27" outlineLevel="1" x14ac:dyDescent="0.35">
      <c r="C36" s="93">
        <f t="shared" si="4"/>
        <v>21</v>
      </c>
      <c r="D36" s="97" t="str">
        <f>IF(OR(D$9&gt;($C36+5),(D$9-$C36)&lt;0),"",_xlfn.XLOOKUP(D$9-$C35,$D$1:$I$1,$D$4:$I$4))</f>
        <v/>
      </c>
      <c r="E36" s="97" t="str">
        <f>IF(OR(E$9&gt;($C36+5),(E$9-$C36)&lt;0),"",_xlfn.XLOOKUP(E$9-$C35,$D$1:$I$1,$D$4:$I$4))</f>
        <v/>
      </c>
      <c r="F36" s="97" t="str">
        <f>IF(OR(F$9&gt;($C36+5),(F$9-$C36)&lt;0),"",_xlfn.XLOOKUP(F$9-$C35,$D$1:$I$1,$D$4:$I$4))</f>
        <v/>
      </c>
      <c r="G36" s="97" t="str">
        <f>IF(OR(G$9&gt;($C36+5),(G$9-$C36)&lt;0),"",_xlfn.XLOOKUP(G$9-$C35,$D$1:$I$1,$D$4:$I$4))</f>
        <v/>
      </c>
      <c r="H36" s="97" t="str">
        <f>IF(OR(H$9&gt;($C36+5),(H$9-$C36)&lt;0),"",_xlfn.XLOOKUP(H$9-$C35,$D$1:$I$1,$D$4:$I$4))</f>
        <v/>
      </c>
      <c r="I36" s="97" t="str">
        <f>IF(OR(I$9&gt;($C36+5),(I$9-$C36)&lt;0),"",_xlfn.XLOOKUP(I$9-$C35,$D$1:$I$1,$D$4:$I$4))</f>
        <v/>
      </c>
      <c r="J36" s="97" t="str">
        <f>IF(OR(J$9&gt;($C36+5),(J$9-$C36)&lt;0),"",_xlfn.XLOOKUP(J$9-$C35,$D$1:$I$1,$D$4:$I$4))</f>
        <v/>
      </c>
      <c r="K36" s="97" t="str">
        <f>IF(OR(K$9&gt;($C36+5),(K$9-$C36)&lt;0),"",_xlfn.XLOOKUP(K$9-$C35,$D$1:$I$1,$D$4:$I$4))</f>
        <v/>
      </c>
      <c r="L36" s="97" t="str">
        <f>IF(OR(L$9&gt;($C36+5),(L$9-$C36)&lt;0),"",_xlfn.XLOOKUP(L$9-$C35,$D$1:$I$1,$D$4:$I$4))</f>
        <v/>
      </c>
      <c r="M36" s="97" t="str">
        <f>IF(OR(M$9&gt;($C36+5),(M$9-$C36)&lt;0),"",_xlfn.XLOOKUP(M$9-$C35,$D$1:$I$1,$D$4:$I$4))</f>
        <v/>
      </c>
      <c r="N36" s="97"/>
      <c r="O36" s="97"/>
      <c r="P36" s="97"/>
      <c r="Q36" s="97"/>
      <c r="R36" s="97"/>
      <c r="S36" s="97"/>
      <c r="T36" s="97"/>
      <c r="U36" s="97"/>
      <c r="V36" s="97"/>
      <c r="W36" s="97"/>
      <c r="X36" s="97"/>
      <c r="Y36" s="97"/>
      <c r="Z36" s="97"/>
      <c r="AA36" s="97"/>
    </row>
    <row r="37" spans="3:27" outlineLevel="1" x14ac:dyDescent="0.35">
      <c r="C37" s="93">
        <f t="shared" si="4"/>
        <v>22</v>
      </c>
      <c r="D37" s="97" t="str">
        <f>IF(OR(D$9&gt;($C37+5),(D$9-$C37)&lt;0),"",_xlfn.XLOOKUP(D$9-$C36,$D$1:$I$1,$D$4:$I$4))</f>
        <v/>
      </c>
      <c r="E37" s="97" t="str">
        <f>IF(OR(E$9&gt;($C37+5),(E$9-$C37)&lt;0),"",_xlfn.XLOOKUP(E$9-$C36,$D$1:$I$1,$D$4:$I$4))</f>
        <v/>
      </c>
      <c r="F37" s="97" t="str">
        <f>IF(OR(F$9&gt;($C37+5),(F$9-$C37)&lt;0),"",_xlfn.XLOOKUP(F$9-$C36,$D$1:$I$1,$D$4:$I$4))</f>
        <v/>
      </c>
      <c r="G37" s="97" t="str">
        <f>IF(OR(G$9&gt;($C37+5),(G$9-$C37)&lt;0),"",_xlfn.XLOOKUP(G$9-$C36,$D$1:$I$1,$D$4:$I$4))</f>
        <v/>
      </c>
      <c r="H37" s="97" t="str">
        <f>IF(OR(H$9&gt;($C37+5),(H$9-$C37)&lt;0),"",_xlfn.XLOOKUP(H$9-$C36,$D$1:$I$1,$D$4:$I$4))</f>
        <v/>
      </c>
      <c r="I37" s="97" t="str">
        <f>IF(OR(I$9&gt;($C37+5),(I$9-$C37)&lt;0),"",_xlfn.XLOOKUP(I$9-$C36,$D$1:$I$1,$D$4:$I$4))</f>
        <v/>
      </c>
      <c r="J37" s="97" t="str">
        <f>IF(OR(J$9&gt;($C37+5),(J$9-$C37)&lt;0),"",_xlfn.XLOOKUP(J$9-$C36,$D$1:$I$1,$D$4:$I$4))</f>
        <v/>
      </c>
      <c r="K37" s="97" t="str">
        <f>IF(OR(K$9&gt;($C37+5),(K$9-$C37)&lt;0),"",_xlfn.XLOOKUP(K$9-$C36,$D$1:$I$1,$D$4:$I$4))</f>
        <v/>
      </c>
      <c r="L37" s="97" t="str">
        <f>IF(OR(L$9&gt;($C37+5),(L$9-$C37)&lt;0),"",_xlfn.XLOOKUP(L$9-$C36,$D$1:$I$1,$D$4:$I$4))</f>
        <v/>
      </c>
      <c r="M37" s="97" t="str">
        <f>IF(OR(M$9&gt;($C37+5),(M$9-$C37)&lt;0),"",_xlfn.XLOOKUP(M$9-$C36,$D$1:$I$1,$D$4:$I$4))</f>
        <v/>
      </c>
      <c r="N37" s="97"/>
      <c r="O37" s="97"/>
      <c r="P37" s="97"/>
      <c r="Q37" s="97"/>
      <c r="R37" s="97"/>
      <c r="S37" s="97"/>
      <c r="T37" s="97"/>
      <c r="U37" s="97"/>
      <c r="V37" s="97"/>
      <c r="W37" s="97"/>
      <c r="X37" s="97"/>
      <c r="Y37" s="97"/>
      <c r="Z37" s="97"/>
      <c r="AA37" s="97"/>
    </row>
    <row r="38" spans="3:27" outlineLevel="1" x14ac:dyDescent="0.35">
      <c r="C38" s="93">
        <f t="shared" si="4"/>
        <v>23</v>
      </c>
      <c r="D38" s="97" t="str">
        <f>IF(OR(D$9&gt;($C38+5),(D$9-$C38)&lt;0),"",_xlfn.XLOOKUP(D$9-$C37,$D$1:$I$1,$D$4:$I$4))</f>
        <v/>
      </c>
      <c r="E38" s="97" t="str">
        <f>IF(OR(E$9&gt;($C38+5),(E$9-$C38)&lt;0),"",_xlfn.XLOOKUP(E$9-$C37,$D$1:$I$1,$D$4:$I$4))</f>
        <v/>
      </c>
      <c r="F38" s="97" t="str">
        <f>IF(OR(F$9&gt;($C38+5),(F$9-$C38)&lt;0),"",_xlfn.XLOOKUP(F$9-$C37,$D$1:$I$1,$D$4:$I$4))</f>
        <v/>
      </c>
      <c r="G38" s="97" t="str">
        <f>IF(OR(G$9&gt;($C38+5),(G$9-$C38)&lt;0),"",_xlfn.XLOOKUP(G$9-$C37,$D$1:$I$1,$D$4:$I$4))</f>
        <v/>
      </c>
      <c r="H38" s="97" t="str">
        <f>IF(OR(H$9&gt;($C38+5),(H$9-$C38)&lt;0),"",_xlfn.XLOOKUP(H$9-$C37,$D$1:$I$1,$D$4:$I$4))</f>
        <v/>
      </c>
      <c r="I38" s="97" t="str">
        <f>IF(OR(I$9&gt;($C38+5),(I$9-$C38)&lt;0),"",_xlfn.XLOOKUP(I$9-$C37,$D$1:$I$1,$D$4:$I$4))</f>
        <v/>
      </c>
      <c r="J38" s="97" t="str">
        <f>IF(OR(J$9&gt;($C38+5),(J$9-$C38)&lt;0),"",_xlfn.XLOOKUP(J$9-$C37,$D$1:$I$1,$D$4:$I$4))</f>
        <v/>
      </c>
      <c r="K38" s="97" t="str">
        <f>IF(OR(K$9&gt;($C38+5),(K$9-$C38)&lt;0),"",_xlfn.XLOOKUP(K$9-$C37,$D$1:$I$1,$D$4:$I$4))</f>
        <v/>
      </c>
      <c r="L38" s="97" t="str">
        <f>IF(OR(L$9&gt;($C38+5),(L$9-$C38)&lt;0),"",_xlfn.XLOOKUP(L$9-$C37,$D$1:$I$1,$D$4:$I$4))</f>
        <v/>
      </c>
      <c r="M38" s="97" t="str">
        <f>IF(OR(M$9&gt;($C38+5),(M$9-$C38)&lt;0),"",_xlfn.XLOOKUP(M$9-$C37,$D$1:$I$1,$D$4:$I$4))</f>
        <v/>
      </c>
      <c r="N38" s="97"/>
      <c r="O38" s="97"/>
      <c r="P38" s="97"/>
      <c r="Q38" s="97"/>
      <c r="R38" s="97"/>
      <c r="S38" s="97"/>
      <c r="T38" s="97"/>
      <c r="U38" s="97"/>
      <c r="V38" s="97"/>
      <c r="W38" s="97"/>
      <c r="X38" s="97"/>
      <c r="Y38" s="97"/>
      <c r="Z38" s="97"/>
      <c r="AA38" s="97"/>
    </row>
    <row r="39" spans="3:27" outlineLevel="1" x14ac:dyDescent="0.35">
      <c r="C39" s="93">
        <f t="shared" si="4"/>
        <v>24</v>
      </c>
      <c r="D39" s="97" t="str">
        <f>IF(OR(D$9&gt;($C39+5),(D$9-$C39)&lt;0),"",_xlfn.XLOOKUP(D$9-$C38,$D$1:$I$1,$D$4:$I$4))</f>
        <v/>
      </c>
      <c r="E39" s="97" t="str">
        <f>IF(OR(E$9&gt;($C39+5),(E$9-$C39)&lt;0),"",_xlfn.XLOOKUP(E$9-$C38,$D$1:$I$1,$D$4:$I$4))</f>
        <v/>
      </c>
      <c r="F39" s="97" t="str">
        <f>IF(OR(F$9&gt;($C39+5),(F$9-$C39)&lt;0),"",_xlfn.XLOOKUP(F$9-$C38,$D$1:$I$1,$D$4:$I$4))</f>
        <v/>
      </c>
      <c r="G39" s="97" t="str">
        <f>IF(OR(G$9&gt;($C39+5),(G$9-$C39)&lt;0),"",_xlfn.XLOOKUP(G$9-$C38,$D$1:$I$1,$D$4:$I$4))</f>
        <v/>
      </c>
      <c r="H39" s="97" t="str">
        <f>IF(OR(H$9&gt;($C39+5),(H$9-$C39)&lt;0),"",_xlfn.XLOOKUP(H$9-$C38,$D$1:$I$1,$D$4:$I$4))</f>
        <v/>
      </c>
      <c r="I39" s="97" t="str">
        <f>IF(OR(I$9&gt;($C39+5),(I$9-$C39)&lt;0),"",_xlfn.XLOOKUP(I$9-$C38,$D$1:$I$1,$D$4:$I$4))</f>
        <v/>
      </c>
      <c r="J39" s="97" t="str">
        <f>IF(OR(J$9&gt;($C39+5),(J$9-$C39)&lt;0),"",_xlfn.XLOOKUP(J$9-$C38,$D$1:$I$1,$D$4:$I$4))</f>
        <v/>
      </c>
      <c r="K39" s="97" t="str">
        <f>IF(OR(K$9&gt;($C39+5),(K$9-$C39)&lt;0),"",_xlfn.XLOOKUP(K$9-$C38,$D$1:$I$1,$D$4:$I$4))</f>
        <v/>
      </c>
      <c r="L39" s="97" t="str">
        <f>IF(OR(L$9&gt;($C39+5),(L$9-$C39)&lt;0),"",_xlfn.XLOOKUP(L$9-$C38,$D$1:$I$1,$D$4:$I$4))</f>
        <v/>
      </c>
      <c r="M39" s="97" t="str">
        <f>IF(OR(M$9&gt;($C39+5),(M$9-$C39)&lt;0),"",_xlfn.XLOOKUP(M$9-$C38,$D$1:$I$1,$D$4:$I$4))</f>
        <v/>
      </c>
      <c r="N39" s="97"/>
      <c r="O39" s="97"/>
      <c r="P39" s="97"/>
      <c r="Q39" s="97"/>
      <c r="R39" s="97"/>
      <c r="S39" s="97"/>
      <c r="T39" s="97"/>
      <c r="U39" s="97"/>
      <c r="V39" s="97"/>
      <c r="W39" s="97"/>
      <c r="X39" s="97"/>
      <c r="Y39" s="97"/>
      <c r="Z39" s="97"/>
      <c r="AA39" s="97"/>
    </row>
    <row r="40" spans="3:27" outlineLevel="1" x14ac:dyDescent="0.35">
      <c r="C40" s="93"/>
    </row>
    <row r="41" spans="3:27" outlineLevel="1" x14ac:dyDescent="0.35">
      <c r="C41" s="93"/>
    </row>
    <row r="42" spans="3:27" outlineLevel="1" x14ac:dyDescent="0.35">
      <c r="C42" s="93"/>
    </row>
    <row r="43" spans="3:27" outlineLevel="1" x14ac:dyDescent="0.35">
      <c r="C43" s="93"/>
    </row>
    <row r="44" spans="3:27" ht="15.5" outlineLevel="1" x14ac:dyDescent="0.35">
      <c r="C44" s="96" t="s">
        <v>115</v>
      </c>
    </row>
    <row r="45" spans="3:27" outlineLevel="1" x14ac:dyDescent="0.35">
      <c r="C45" s="93">
        <v>1</v>
      </c>
      <c r="D45" s="98">
        <f>IFERROR(IF(D$9&lt;($C45+6),HLOOKUP($C45,$D$9:$AA$11,3,FALSE)*D16,C45),"")</f>
        <v>146.25</v>
      </c>
      <c r="E45" s="98">
        <f>IFERROR(IF(E$9&lt;($C45+6),HLOOKUP($C45,$D$9:$AA$11,3,FALSE)*E16,D45),"")</f>
        <v>126.75</v>
      </c>
      <c r="F45" s="98">
        <f>IFERROR(IF(F$9&lt;($C45+6),HLOOKUP($C45,$D$9:$AA$11,3,FALSE)*F16,E45),"")</f>
        <v>107.25000000000001</v>
      </c>
      <c r="G45" s="98">
        <f>IFERROR(IF(G$9&lt;($C45+6),HLOOKUP($C45,$D$9:$AA$11,3,FALSE)*G16,F45),"")</f>
        <v>23.4</v>
      </c>
      <c r="H45" s="98">
        <f>IFERROR(IF(H$9&lt;($C45+6),HLOOKUP($C45,$D$9:$AA$11,3,FALSE)*H16,G45),"")</f>
        <v>3.9</v>
      </c>
      <c r="I45" s="98">
        <f>IFERROR(IF(I$9&lt;($C45+6),HLOOKUP($C45,$D$9:$AA$11,3,FALSE)*I16,H45),"")</f>
        <v>5.85</v>
      </c>
      <c r="J45" s="98">
        <f>IFERROR(IF(J$9&lt;($C45+6),HLOOKUP($C45,$D$9:$AA$11,3,FALSE)*J16,I45),"")</f>
        <v>5.85</v>
      </c>
      <c r="K45" s="98">
        <f>IFERROR(IF(K$9&lt;($C45+6),HLOOKUP($C45,$D$9:$AA$11,3,FALSE)*K16,J45),"")</f>
        <v>5.85</v>
      </c>
      <c r="L45" s="98">
        <f>IFERROR(IF(L$9&lt;($C45+6),HLOOKUP($C45,$D$9:$AA$11,3,FALSE)*L16,K45),"")</f>
        <v>5.85</v>
      </c>
      <c r="M45" s="98">
        <f>IFERROR(IF(M$9&lt;($C45+6),HLOOKUP($C45,$D$9:$AA$11,3,FALSE)*M16,L45),"")</f>
        <v>5.85</v>
      </c>
      <c r="N45" s="98"/>
      <c r="O45" s="98"/>
      <c r="P45" s="98"/>
      <c r="Q45" s="98"/>
      <c r="R45" s="98"/>
      <c r="S45" s="98"/>
      <c r="T45" s="98"/>
      <c r="U45" s="98"/>
      <c r="V45" s="98"/>
      <c r="W45" s="98"/>
      <c r="X45" s="98"/>
      <c r="Y45" s="98"/>
      <c r="Z45" s="98"/>
      <c r="AA45" s="98"/>
    </row>
    <row r="46" spans="3:27" outlineLevel="1" x14ac:dyDescent="0.35">
      <c r="C46" s="93">
        <f>C45+1</f>
        <v>2</v>
      </c>
      <c r="D46" s="98" t="str">
        <f>IFERROR(IF(D$9&lt;($C46+6),HLOOKUP($C46,$D$9:$AA$11,3,FALSE)*D17,C46),"")</f>
        <v/>
      </c>
      <c r="E46" s="98">
        <f>IFERROR(IF(E$9&lt;($C46+6),HLOOKUP($C46,$D$9:$AA$11,3,FALSE)*E17,D46),"")</f>
        <v>225</v>
      </c>
      <c r="F46" s="98">
        <f>IFERROR(IF(F$9&lt;($C46+6),HLOOKUP($C46,$D$9:$AA$11,3,FALSE)*F17,E46),"")</f>
        <v>195</v>
      </c>
      <c r="G46" s="98">
        <f>IFERROR(IF(G$9&lt;($C46+6),HLOOKUP($C46,$D$9:$AA$11,3,FALSE)*G17,F46),"")</f>
        <v>165</v>
      </c>
      <c r="H46" s="98">
        <f>IFERROR(IF(H$9&lt;($C46+6),HLOOKUP($C46,$D$9:$AA$11,3,FALSE)*H17,G46),"")</f>
        <v>36</v>
      </c>
      <c r="I46" s="98">
        <f>IFERROR(IF(I$9&lt;($C46+6),HLOOKUP($C46,$D$9:$AA$11,3,FALSE)*I17,H46),"")</f>
        <v>6</v>
      </c>
      <c r="J46" s="98">
        <f>IFERROR(IF(J$9&lt;($C46+6),HLOOKUP($C46,$D$9:$AA$11,3,FALSE)*J17,I46),"")</f>
        <v>9</v>
      </c>
      <c r="K46" s="98">
        <f>IFERROR(IF(K$9&lt;($C46+6),HLOOKUP($C46,$D$9:$AA$11,3,FALSE)*K17,J46),"")</f>
        <v>9</v>
      </c>
      <c r="L46" s="98">
        <f>IFERROR(IF(L$9&lt;($C46+6),HLOOKUP($C46,$D$9:$AA$11,3,FALSE)*L17,K46),"")</f>
        <v>9</v>
      </c>
      <c r="M46" s="98">
        <f>IFERROR(IF(M$9&lt;($C46+6),HLOOKUP($C46,$D$9:$AA$11,3,FALSE)*M17,L46),"")</f>
        <v>9</v>
      </c>
      <c r="N46" s="98"/>
      <c r="O46" s="98"/>
      <c r="P46" s="98"/>
      <c r="Q46" s="98"/>
      <c r="R46" s="98"/>
      <c r="S46" s="98"/>
      <c r="T46" s="98"/>
      <c r="U46" s="98"/>
      <c r="V46" s="98"/>
      <c r="W46" s="98"/>
      <c r="X46" s="98"/>
      <c r="Y46" s="98"/>
      <c r="Z46" s="98"/>
      <c r="AA46" s="98"/>
    </row>
    <row r="47" spans="3:27" outlineLevel="1" x14ac:dyDescent="0.35">
      <c r="C47" s="93">
        <f t="shared" ref="C47:C68" si="5">C46+1</f>
        <v>3</v>
      </c>
      <c r="D47" s="98" t="str">
        <f>IFERROR(IF(D$9&lt;($C47+6),HLOOKUP($C47,$D$9:$AA$11,3,FALSE)*D18,C47),"")</f>
        <v/>
      </c>
      <c r="E47" s="98" t="str">
        <f>IFERROR(IF(E$9&lt;($C47+6),HLOOKUP($C47,$D$9:$AA$11,3,FALSE)*E18,D47),"")</f>
        <v/>
      </c>
      <c r="F47" s="98">
        <f>IFERROR(IF(F$9&lt;($C47+6),HLOOKUP($C47,$D$9:$AA$11,3,FALSE)*F18,E47),"")</f>
        <v>371.25</v>
      </c>
      <c r="G47" s="98">
        <f>IFERROR(IF(G$9&lt;($C47+6),HLOOKUP($C47,$D$9:$AA$11,3,FALSE)*G18,F47),"")</f>
        <v>321.75</v>
      </c>
      <c r="H47" s="98">
        <f>IFERROR(IF(H$9&lt;($C47+6),HLOOKUP($C47,$D$9:$AA$11,3,FALSE)*H18,G47),"")</f>
        <v>272.25</v>
      </c>
      <c r="I47" s="98">
        <f>IFERROR(IF(I$9&lt;($C47+6),HLOOKUP($C47,$D$9:$AA$11,3,FALSE)*I18,H47),"")</f>
        <v>59.4</v>
      </c>
      <c r="J47" s="98">
        <f>IFERROR(IF(J$9&lt;($C47+6),HLOOKUP($C47,$D$9:$AA$11,3,FALSE)*J18,I47),"")</f>
        <v>9.9</v>
      </c>
      <c r="K47" s="98">
        <f>IFERROR(IF(K$9&lt;($C47+6),HLOOKUP($C47,$D$9:$AA$11,3,FALSE)*K18,J47),"")</f>
        <v>14.85</v>
      </c>
      <c r="L47" s="98">
        <f>IFERROR(IF(L$9&lt;($C47+6),HLOOKUP($C47,$D$9:$AA$11,3,FALSE)*L18,K47),"")</f>
        <v>14.85</v>
      </c>
      <c r="M47" s="98">
        <f>IFERROR(IF(M$9&lt;($C47+6),HLOOKUP($C47,$D$9:$AA$11,3,FALSE)*M18,L47),"")</f>
        <v>14.85</v>
      </c>
      <c r="N47" s="98"/>
      <c r="O47" s="98"/>
      <c r="P47" s="98"/>
      <c r="Q47" s="98"/>
      <c r="R47" s="98"/>
      <c r="S47" s="98"/>
      <c r="T47" s="98"/>
      <c r="U47" s="98"/>
      <c r="V47" s="98"/>
      <c r="W47" s="98"/>
      <c r="X47" s="98"/>
      <c r="Y47" s="98"/>
      <c r="Z47" s="98"/>
      <c r="AA47" s="98"/>
    </row>
    <row r="48" spans="3:27" outlineLevel="1" x14ac:dyDescent="0.35">
      <c r="C48" s="93">
        <f t="shared" si="5"/>
        <v>4</v>
      </c>
      <c r="D48" s="98" t="str">
        <f>IFERROR(IF(D$9&lt;($C48+6),HLOOKUP($C48,$D$9:$AA$11,3,FALSE)*D19,C48),"")</f>
        <v/>
      </c>
      <c r="E48" s="98" t="str">
        <f>IFERROR(IF(E$9&lt;($C48+6),HLOOKUP($C48,$D$9:$AA$11,3,FALSE)*E19,D48),"")</f>
        <v/>
      </c>
      <c r="F48" s="98" t="str">
        <f>IFERROR(IF(F$9&lt;($C48+6),HLOOKUP($C48,$D$9:$AA$11,3,FALSE)*F19,E48),"")</f>
        <v/>
      </c>
      <c r="G48" s="98">
        <f>IFERROR(IF(G$9&lt;($C48+6),HLOOKUP($C48,$D$9:$AA$11,3,FALSE)*G19,F48),"")</f>
        <v>704.39770100144528</v>
      </c>
      <c r="H48" s="98">
        <f>IFERROR(IF(H$9&lt;($C48+6),HLOOKUP($C48,$D$9:$AA$11,3,FALSE)*H19,G48),"")</f>
        <v>610.47800753458591</v>
      </c>
      <c r="I48" s="98">
        <f>IFERROR(IF(I$9&lt;($C48+6),HLOOKUP($C48,$D$9:$AA$11,3,FALSE)*I19,H48),"")</f>
        <v>516.55831406772654</v>
      </c>
      <c r="J48" s="98">
        <f>IFERROR(IF(J$9&lt;($C48+6),HLOOKUP($C48,$D$9:$AA$11,3,FALSE)*J19,I48),"")</f>
        <v>112.70363216023124</v>
      </c>
      <c r="K48" s="98">
        <f>IFERROR(IF(K$9&lt;($C48+6),HLOOKUP($C48,$D$9:$AA$11,3,FALSE)*K19,J48),"")</f>
        <v>18.783938693371876</v>
      </c>
      <c r="L48" s="98">
        <f>IFERROR(IF(L$9&lt;($C48+6),HLOOKUP($C48,$D$9:$AA$11,3,FALSE)*L19,K48),"")</f>
        <v>28.175908040057809</v>
      </c>
      <c r="M48" s="98">
        <f>IFERROR(IF(M$9&lt;($C48+6),HLOOKUP($C48,$D$9:$AA$11,3,FALSE)*M19,L48),"")</f>
        <v>28.175908040057809</v>
      </c>
      <c r="N48" s="98"/>
      <c r="O48" s="98"/>
      <c r="P48" s="98"/>
      <c r="Q48" s="98"/>
      <c r="R48" s="98"/>
      <c r="S48" s="98"/>
      <c r="T48" s="98"/>
      <c r="U48" s="98"/>
      <c r="V48" s="98"/>
      <c r="W48" s="98"/>
      <c r="X48" s="98"/>
      <c r="Y48" s="98"/>
      <c r="Z48" s="98"/>
      <c r="AA48" s="98"/>
    </row>
    <row r="49" spans="3:27" outlineLevel="1" x14ac:dyDescent="0.35">
      <c r="C49" s="93">
        <f t="shared" si="5"/>
        <v>5</v>
      </c>
      <c r="D49" s="98" t="str">
        <f>IFERROR(IF(D$9&lt;($C49+6),HLOOKUP($C49,$D$9:$AA$11,3,FALSE)*D20,C49),"")</f>
        <v/>
      </c>
      <c r="E49" s="98" t="str">
        <f>IFERROR(IF(E$9&lt;($C49+6),HLOOKUP($C49,$D$9:$AA$11,3,FALSE)*E20,D49),"")</f>
        <v/>
      </c>
      <c r="F49" s="98" t="str">
        <f>IFERROR(IF(F$9&lt;($C49+6),HLOOKUP($C49,$D$9:$AA$11,3,FALSE)*F20,E49),"")</f>
        <v/>
      </c>
      <c r="G49" s="98" t="str">
        <f>IFERROR(IF(G$9&lt;($C49+6),HLOOKUP($C49,$D$9:$AA$11,3,FALSE)*G20,F49),"")</f>
        <v/>
      </c>
      <c r="H49" s="98">
        <f>IFERROR(IF(H$9&lt;($C49+6),HLOOKUP($C49,$D$9:$AA$11,3,FALSE)*H20,G49),"")</f>
        <v>774.83747110158947</v>
      </c>
      <c r="I49" s="98">
        <f>IFERROR(IF(I$9&lt;($C49+6),HLOOKUP($C49,$D$9:$AA$11,3,FALSE)*I20,H49),"")</f>
        <v>671.52580828804423</v>
      </c>
      <c r="J49" s="98">
        <f>IFERROR(IF(J$9&lt;($C49+6),HLOOKUP($C49,$D$9:$AA$11,3,FALSE)*J20,I49),"")</f>
        <v>568.21414547449899</v>
      </c>
      <c r="K49" s="98">
        <f>IFERROR(IF(K$9&lt;($C49+6),HLOOKUP($C49,$D$9:$AA$11,3,FALSE)*K20,J49),"")</f>
        <v>123.97399537625431</v>
      </c>
      <c r="L49" s="98">
        <f>IFERROR(IF(L$9&lt;($C49+6),HLOOKUP($C49,$D$9:$AA$11,3,FALSE)*L20,K49),"")</f>
        <v>20.662332562709054</v>
      </c>
      <c r="M49" s="98">
        <f>IFERROR(IF(M$9&lt;($C49+6),HLOOKUP($C49,$D$9:$AA$11,3,FALSE)*M20,L49),"")</f>
        <v>30.993498844063577</v>
      </c>
      <c r="N49" s="98"/>
      <c r="O49" s="98"/>
      <c r="P49" s="98"/>
      <c r="Q49" s="98"/>
      <c r="R49" s="98"/>
      <c r="S49" s="98"/>
      <c r="T49" s="98"/>
      <c r="U49" s="98"/>
      <c r="V49" s="98"/>
      <c r="W49" s="98"/>
      <c r="X49" s="98"/>
      <c r="Y49" s="98"/>
      <c r="Z49" s="98"/>
      <c r="AA49" s="98"/>
    </row>
    <row r="50" spans="3:27" outlineLevel="1" x14ac:dyDescent="0.35">
      <c r="C50" s="93">
        <f t="shared" si="5"/>
        <v>6</v>
      </c>
      <c r="D50" s="98" t="str">
        <f>IFERROR(IF(D$9&lt;($C50+6),HLOOKUP($C50,$D$9:$AA$11,3,FALSE)*D21,C50),"")</f>
        <v/>
      </c>
      <c r="E50" s="98" t="str">
        <f>IFERROR(IF(E$9&lt;($C50+6),HLOOKUP($C50,$D$9:$AA$11,3,FALSE)*E21,D50),"")</f>
        <v/>
      </c>
      <c r="F50" s="98" t="str">
        <f>IFERROR(IF(F$9&lt;($C50+6),HLOOKUP($C50,$D$9:$AA$11,3,FALSE)*F21,E50),"")</f>
        <v/>
      </c>
      <c r="G50" s="98" t="str">
        <f>IFERROR(IF(G$9&lt;($C50+6),HLOOKUP($C50,$D$9:$AA$11,3,FALSE)*G21,F50),"")</f>
        <v/>
      </c>
      <c r="H50" s="98" t="str">
        <f>IFERROR(IF(H$9&lt;($C50+6),HLOOKUP($C50,$D$9:$AA$11,3,FALSE)*H21,G50),"")</f>
        <v/>
      </c>
      <c r="I50" s="98">
        <f>IFERROR(IF(I$9&lt;($C50+6),HLOOKUP($C50,$D$9:$AA$11,3,FALSE)*I21,H50),"")</f>
        <v>852.32121821174883</v>
      </c>
      <c r="J50" s="98">
        <f>IFERROR(IF(J$9&lt;($C50+6),HLOOKUP($C50,$D$9:$AA$11,3,FALSE)*J21,I50),"")</f>
        <v>738.67838911684896</v>
      </c>
      <c r="K50" s="98">
        <f>IFERROR(IF(K$9&lt;($C50+6),HLOOKUP($C50,$D$9:$AA$11,3,FALSE)*K21,J50),"")</f>
        <v>625.03556002194921</v>
      </c>
      <c r="L50" s="98">
        <f>IFERROR(IF(L$9&lt;($C50+6),HLOOKUP($C50,$D$9:$AA$11,3,FALSE)*L21,K50),"")</f>
        <v>136.37139491387981</v>
      </c>
      <c r="M50" s="98">
        <f>IFERROR(IF(M$9&lt;($C50+6),HLOOKUP($C50,$D$9:$AA$11,3,FALSE)*M21,L50),"")</f>
        <v>22.72856581897997</v>
      </c>
      <c r="N50" s="98"/>
      <c r="O50" s="98"/>
      <c r="P50" s="98"/>
      <c r="Q50" s="98"/>
      <c r="R50" s="98"/>
      <c r="S50" s="98"/>
      <c r="T50" s="98"/>
      <c r="U50" s="98"/>
      <c r="V50" s="98"/>
      <c r="W50" s="98"/>
      <c r="X50" s="98"/>
      <c r="Y50" s="98"/>
      <c r="Z50" s="98"/>
      <c r="AA50" s="98"/>
    </row>
    <row r="51" spans="3:27" outlineLevel="1" x14ac:dyDescent="0.35">
      <c r="C51" s="93">
        <f t="shared" si="5"/>
        <v>7</v>
      </c>
      <c r="D51" s="98" t="str">
        <f>IFERROR(IF(D$9&lt;($C51+6),HLOOKUP($C51,$D$9:$AA$11,3,FALSE)*D22,C51),"")</f>
        <v/>
      </c>
      <c r="E51" s="98" t="str">
        <f>IFERROR(IF(E$9&lt;($C51+6),HLOOKUP($C51,$D$9:$AA$11,3,FALSE)*E22,D51),"")</f>
        <v/>
      </c>
      <c r="F51" s="98" t="str">
        <f>IFERROR(IF(F$9&lt;($C51+6),HLOOKUP($C51,$D$9:$AA$11,3,FALSE)*F22,E51),"")</f>
        <v/>
      </c>
      <c r="G51" s="98" t="str">
        <f>IFERROR(IF(G$9&lt;($C51+6),HLOOKUP($C51,$D$9:$AA$11,3,FALSE)*G22,F51),"")</f>
        <v/>
      </c>
      <c r="H51" s="98" t="str">
        <f>IFERROR(IF(H$9&lt;($C51+6),HLOOKUP($C51,$D$9:$AA$11,3,FALSE)*H22,G51),"")</f>
        <v/>
      </c>
      <c r="I51" s="98" t="str">
        <f>IFERROR(IF(I$9&lt;($C51+6),HLOOKUP($C51,$D$9:$AA$11,3,FALSE)*I22,H51),"")</f>
        <v/>
      </c>
      <c r="J51" s="98">
        <f>IFERROR(IF(J$9&lt;($C51+6),HLOOKUP($C51,$D$9:$AA$11,3,FALSE)*J22,I51),"")</f>
        <v>937.55334003292364</v>
      </c>
      <c r="K51" s="98">
        <f>IFERROR(IF(K$9&lt;($C51+6),HLOOKUP($C51,$D$9:$AA$11,3,FALSE)*K22,J51),"")</f>
        <v>812.54622802853385</v>
      </c>
      <c r="L51" s="98">
        <f>IFERROR(IF(L$9&lt;($C51+6),HLOOKUP($C51,$D$9:$AA$11,3,FALSE)*L22,K51),"")</f>
        <v>687.53911602414405</v>
      </c>
      <c r="M51" s="98">
        <f>IFERROR(IF(M$9&lt;($C51+6),HLOOKUP($C51,$D$9:$AA$11,3,FALSE)*M22,L51),"")</f>
        <v>150.00853440526777</v>
      </c>
      <c r="N51" s="98"/>
      <c r="O51" s="98"/>
      <c r="P51" s="98"/>
      <c r="Q51" s="98"/>
      <c r="R51" s="98"/>
      <c r="S51" s="98"/>
      <c r="T51" s="98"/>
      <c r="U51" s="98"/>
      <c r="V51" s="98"/>
      <c r="W51" s="98"/>
      <c r="X51" s="98"/>
      <c r="Y51" s="98"/>
      <c r="Z51" s="98"/>
      <c r="AA51" s="98"/>
    </row>
    <row r="52" spans="3:27" outlineLevel="1" x14ac:dyDescent="0.35">
      <c r="C52" s="93">
        <f t="shared" si="5"/>
        <v>8</v>
      </c>
      <c r="D52" s="98" t="str">
        <f>IFERROR(IF(D$9&lt;($C52+6),HLOOKUP($C52,$D$9:$AA$11,3,FALSE)*D23,C52),"")</f>
        <v/>
      </c>
      <c r="E52" s="98" t="str">
        <f>IFERROR(IF(E$9&lt;($C52+6),HLOOKUP($C52,$D$9:$AA$11,3,FALSE)*E23,D52),"")</f>
        <v/>
      </c>
      <c r="F52" s="98" t="str">
        <f>IFERROR(IF(F$9&lt;($C52+6),HLOOKUP($C52,$D$9:$AA$11,3,FALSE)*F23,E52),"")</f>
        <v/>
      </c>
      <c r="G52" s="98" t="str">
        <f>IFERROR(IF(G$9&lt;($C52+6),HLOOKUP($C52,$D$9:$AA$11,3,FALSE)*G23,F52),"")</f>
        <v/>
      </c>
      <c r="H52" s="98" t="str">
        <f>IFERROR(IF(H$9&lt;($C52+6),HLOOKUP($C52,$D$9:$AA$11,3,FALSE)*H23,G52),"")</f>
        <v/>
      </c>
      <c r="I52" s="98" t="str">
        <f>IFERROR(IF(I$9&lt;($C52+6),HLOOKUP($C52,$D$9:$AA$11,3,FALSE)*I23,H52),"")</f>
        <v/>
      </c>
      <c r="J52" s="98" t="str">
        <f>IFERROR(IF(J$9&lt;($C52+6),HLOOKUP($C52,$D$9:$AA$11,3,FALSE)*J23,I52),"")</f>
        <v/>
      </c>
      <c r="K52" s="98">
        <f>IFERROR(IF(K$9&lt;($C52+6),HLOOKUP($C52,$D$9:$AA$11,3,FALSE)*K23,J52),"")</f>
        <v>1031.3086740362164</v>
      </c>
      <c r="L52" s="98">
        <f>IFERROR(IF(L$9&lt;($C52+6),HLOOKUP($C52,$D$9:$AA$11,3,FALSE)*L23,K52),"")</f>
        <v>893.80085083138761</v>
      </c>
      <c r="M52" s="98">
        <f>IFERROR(IF(M$9&lt;($C52+6),HLOOKUP($C52,$D$9:$AA$11,3,FALSE)*M23,L52),"")</f>
        <v>756.2930276265588</v>
      </c>
      <c r="N52" s="98"/>
      <c r="O52" s="98"/>
      <c r="P52" s="98"/>
      <c r="Q52" s="98"/>
      <c r="R52" s="98"/>
      <c r="S52" s="98"/>
      <c r="T52" s="98"/>
      <c r="U52" s="98"/>
      <c r="V52" s="98"/>
      <c r="W52" s="98"/>
      <c r="X52" s="98"/>
      <c r="Y52" s="98"/>
      <c r="Z52" s="98"/>
      <c r="AA52" s="98"/>
    </row>
    <row r="53" spans="3:27" outlineLevel="1" x14ac:dyDescent="0.35">
      <c r="C53" s="93">
        <f t="shared" si="5"/>
        <v>9</v>
      </c>
      <c r="D53" s="98" t="str">
        <f>IFERROR(IF(D$9&lt;($C53+6),HLOOKUP($C53,$D$9:$AA$11,3,FALSE)*D24,C53),"")</f>
        <v/>
      </c>
      <c r="E53" s="98" t="str">
        <f>IFERROR(IF(E$9&lt;($C53+6),HLOOKUP($C53,$D$9:$AA$11,3,FALSE)*E24,D53),"")</f>
        <v/>
      </c>
      <c r="F53" s="98" t="str">
        <f>IFERROR(IF(F$9&lt;($C53+6),HLOOKUP($C53,$D$9:$AA$11,3,FALSE)*F24,E53),"")</f>
        <v/>
      </c>
      <c r="G53" s="98" t="str">
        <f>IFERROR(IF(G$9&lt;($C53+6),HLOOKUP($C53,$D$9:$AA$11,3,FALSE)*G24,F53),"")</f>
        <v/>
      </c>
      <c r="H53" s="98" t="str">
        <f>IFERROR(IF(H$9&lt;($C53+6),HLOOKUP($C53,$D$9:$AA$11,3,FALSE)*H24,G53),"")</f>
        <v/>
      </c>
      <c r="I53" s="98" t="str">
        <f>IFERROR(IF(I$9&lt;($C53+6),HLOOKUP($C53,$D$9:$AA$11,3,FALSE)*I24,H53),"")</f>
        <v/>
      </c>
      <c r="J53" s="98" t="str">
        <f>IFERROR(IF(J$9&lt;($C53+6),HLOOKUP($C53,$D$9:$AA$11,3,FALSE)*J24,I53),"")</f>
        <v/>
      </c>
      <c r="K53" s="98" t="str">
        <f>IFERROR(IF(K$9&lt;($C53+6),HLOOKUP($C53,$D$9:$AA$11,3,FALSE)*K24,J53),"")</f>
        <v/>
      </c>
      <c r="L53" s="98">
        <f>IFERROR(IF(L$9&lt;($C53+6),HLOOKUP($C53,$D$9:$AA$11,3,FALSE)*L24,K53),"")</f>
        <v>1134.4395414398382</v>
      </c>
      <c r="M53" s="98">
        <f>IFERROR(IF(M$9&lt;($C53+6),HLOOKUP($C53,$D$9:$AA$11,3,FALSE)*M24,L53),"")</f>
        <v>983.18093591452646</v>
      </c>
      <c r="N53" s="98"/>
      <c r="O53" s="98"/>
      <c r="P53" s="98"/>
      <c r="Q53" s="98"/>
      <c r="R53" s="98"/>
      <c r="S53" s="98"/>
      <c r="T53" s="98"/>
      <c r="U53" s="98"/>
      <c r="V53" s="98"/>
      <c r="W53" s="98"/>
      <c r="X53" s="98"/>
      <c r="Y53" s="98"/>
      <c r="Z53" s="98"/>
      <c r="AA53" s="98"/>
    </row>
    <row r="54" spans="3:27" outlineLevel="1" x14ac:dyDescent="0.35">
      <c r="C54" s="93">
        <f t="shared" si="5"/>
        <v>10</v>
      </c>
      <c r="D54" s="98" t="str">
        <f>IFERROR(IF(D$9&lt;($C54+6),HLOOKUP($C54,$D$9:$AA$11,3,FALSE)*D25,C54),"")</f>
        <v/>
      </c>
      <c r="E54" s="98" t="str">
        <f>IFERROR(IF(E$9&lt;($C54+6),HLOOKUP($C54,$D$9:$AA$11,3,FALSE)*E25,D54),"")</f>
        <v/>
      </c>
      <c r="F54" s="98" t="str">
        <f>IFERROR(IF(F$9&lt;($C54+6),HLOOKUP($C54,$D$9:$AA$11,3,FALSE)*F25,E54),"")</f>
        <v/>
      </c>
      <c r="G54" s="98" t="str">
        <f>IFERROR(IF(G$9&lt;($C54+6),HLOOKUP($C54,$D$9:$AA$11,3,FALSE)*G25,F54),"")</f>
        <v/>
      </c>
      <c r="H54" s="98" t="str">
        <f>IFERROR(IF(H$9&lt;($C54+6),HLOOKUP($C54,$D$9:$AA$11,3,FALSE)*H25,G54),"")</f>
        <v/>
      </c>
      <c r="I54" s="98" t="str">
        <f>IFERROR(IF(I$9&lt;($C54+6),HLOOKUP($C54,$D$9:$AA$11,3,FALSE)*I25,H54),"")</f>
        <v/>
      </c>
      <c r="J54" s="98" t="str">
        <f>IFERROR(IF(J$9&lt;($C54+6),HLOOKUP($C54,$D$9:$AA$11,3,FALSE)*J25,I54),"")</f>
        <v/>
      </c>
      <c r="K54" s="98" t="str">
        <f>IFERROR(IF(K$9&lt;($C54+6),HLOOKUP($C54,$D$9:$AA$11,3,FALSE)*K25,J54),"")</f>
        <v/>
      </c>
      <c r="L54" s="98" t="str">
        <f>IFERROR(IF(L$9&lt;($C54+6),HLOOKUP($C54,$D$9:$AA$11,3,FALSE)*L25,K54),"")</f>
        <v/>
      </c>
      <c r="M54" s="98">
        <f>IFERROR(IF(M$9&lt;($C54+6),HLOOKUP($C54,$D$9:$AA$11,3,FALSE)*M25,L54),"")</f>
        <v>1247.8834955838224</v>
      </c>
      <c r="N54" s="98"/>
      <c r="O54" s="98"/>
      <c r="P54" s="98"/>
      <c r="Q54" s="98"/>
      <c r="R54" s="98"/>
      <c r="S54" s="98"/>
      <c r="T54" s="98"/>
      <c r="U54" s="98"/>
      <c r="V54" s="98"/>
      <c r="W54" s="98"/>
      <c r="X54" s="98"/>
      <c r="Y54" s="98"/>
      <c r="Z54" s="98"/>
      <c r="AA54" s="98"/>
    </row>
    <row r="55" spans="3:27" outlineLevel="1" x14ac:dyDescent="0.35">
      <c r="C55" s="93">
        <f t="shared" si="5"/>
        <v>11</v>
      </c>
      <c r="D55" s="98" t="str">
        <f>IFERROR(IF(D$9&lt;($C55+6),HLOOKUP($C55,$D$9:$AA$11,3,FALSE)*D26,C55),"")</f>
        <v/>
      </c>
      <c r="E55" s="98" t="str">
        <f>IFERROR(IF(E$9&lt;($C55+6),HLOOKUP($C55,$D$9:$AA$11,3,FALSE)*E26,D55),"")</f>
        <v/>
      </c>
      <c r="F55" s="98" t="str">
        <f>IFERROR(IF(F$9&lt;($C55+6),HLOOKUP($C55,$D$9:$AA$11,3,FALSE)*F26,E55),"")</f>
        <v/>
      </c>
      <c r="G55" s="98" t="str">
        <f>IFERROR(IF(G$9&lt;($C55+6),HLOOKUP($C55,$D$9:$AA$11,3,FALSE)*G26,F55),"")</f>
        <v/>
      </c>
      <c r="H55" s="98" t="str">
        <f>IFERROR(IF(H$9&lt;($C55+6),HLOOKUP($C55,$D$9:$AA$11,3,FALSE)*H26,G55),"")</f>
        <v/>
      </c>
      <c r="I55" s="98" t="str">
        <f>IFERROR(IF(I$9&lt;($C55+6),HLOOKUP($C55,$D$9:$AA$11,3,FALSE)*I26,H55),"")</f>
        <v/>
      </c>
      <c r="J55" s="98" t="str">
        <f>IFERROR(IF(J$9&lt;($C55+6),HLOOKUP($C55,$D$9:$AA$11,3,FALSE)*J26,I55),"")</f>
        <v/>
      </c>
      <c r="K55" s="98" t="str">
        <f>IFERROR(IF(K$9&lt;($C55+6),HLOOKUP($C55,$D$9:$AA$11,3,FALSE)*K26,J55),"")</f>
        <v/>
      </c>
      <c r="L55" s="98" t="str">
        <f>IFERROR(IF(L$9&lt;($C55+6),HLOOKUP($C55,$D$9:$AA$11,3,FALSE)*L26,K55),"")</f>
        <v/>
      </c>
      <c r="M55" s="98" t="str">
        <f>IFERROR(IF(M$9&lt;($C55+6),HLOOKUP($C55,$D$9:$AA$11,3,FALSE)*M26,L55),"")</f>
        <v/>
      </c>
      <c r="N55" s="98"/>
      <c r="O55" s="98"/>
      <c r="P55" s="98"/>
      <c r="Q55" s="98"/>
      <c r="R55" s="98"/>
      <c r="S55" s="98"/>
      <c r="T55" s="98"/>
      <c r="U55" s="98"/>
      <c r="V55" s="98"/>
      <c r="W55" s="98"/>
      <c r="X55" s="98"/>
      <c r="Y55" s="98"/>
      <c r="Z55" s="98"/>
      <c r="AA55" s="98"/>
    </row>
    <row r="56" spans="3:27" outlineLevel="1" x14ac:dyDescent="0.35">
      <c r="C56" s="93">
        <f t="shared" si="5"/>
        <v>12</v>
      </c>
      <c r="D56" s="98" t="str">
        <f>IFERROR(IF(D$9&lt;($C56+6),HLOOKUP($C56,$D$9:$AA$11,3,FALSE)*D27,C56),"")</f>
        <v/>
      </c>
      <c r="E56" s="98" t="str">
        <f>IFERROR(IF(E$9&lt;($C56+6),HLOOKUP($C56,$D$9:$AA$11,3,FALSE)*E27,D56),"")</f>
        <v/>
      </c>
      <c r="F56" s="98" t="str">
        <f>IFERROR(IF(F$9&lt;($C56+6),HLOOKUP($C56,$D$9:$AA$11,3,FALSE)*F27,E56),"")</f>
        <v/>
      </c>
      <c r="G56" s="98" t="str">
        <f>IFERROR(IF(G$9&lt;($C56+6),HLOOKUP($C56,$D$9:$AA$11,3,FALSE)*G27,F56),"")</f>
        <v/>
      </c>
      <c r="H56" s="98" t="str">
        <f>IFERROR(IF(H$9&lt;($C56+6),HLOOKUP($C56,$D$9:$AA$11,3,FALSE)*H27,G56),"")</f>
        <v/>
      </c>
      <c r="I56" s="98" t="str">
        <f>IFERROR(IF(I$9&lt;($C56+6),HLOOKUP($C56,$D$9:$AA$11,3,FALSE)*I27,H56),"")</f>
        <v/>
      </c>
      <c r="J56" s="98" t="str">
        <f>IFERROR(IF(J$9&lt;($C56+6),HLOOKUP($C56,$D$9:$AA$11,3,FALSE)*J27,I56),"")</f>
        <v/>
      </c>
      <c r="K56" s="98" t="str">
        <f>IFERROR(IF(K$9&lt;($C56+6),HLOOKUP($C56,$D$9:$AA$11,3,FALSE)*K27,J56),"")</f>
        <v/>
      </c>
      <c r="L56" s="98" t="str">
        <f>IFERROR(IF(L$9&lt;($C56+6),HLOOKUP($C56,$D$9:$AA$11,3,FALSE)*L27,K56),"")</f>
        <v/>
      </c>
      <c r="M56" s="98" t="str">
        <f>IFERROR(IF(M$9&lt;($C56+6),HLOOKUP($C56,$D$9:$AA$11,3,FALSE)*M27,L56),"")</f>
        <v/>
      </c>
      <c r="N56" s="98"/>
      <c r="O56" s="98"/>
      <c r="P56" s="98"/>
      <c r="Q56" s="98"/>
      <c r="R56" s="98"/>
      <c r="S56" s="98"/>
      <c r="T56" s="98"/>
      <c r="U56" s="98"/>
      <c r="V56" s="98"/>
      <c r="W56" s="98"/>
      <c r="X56" s="98"/>
      <c r="Y56" s="98"/>
      <c r="Z56" s="98"/>
      <c r="AA56" s="98"/>
    </row>
    <row r="57" spans="3:27" outlineLevel="1" x14ac:dyDescent="0.35">
      <c r="C57" s="93">
        <f t="shared" si="5"/>
        <v>13</v>
      </c>
      <c r="D57" s="98" t="str">
        <f>IFERROR(IF(D$9&lt;($C57+6),HLOOKUP($C57,$D$9:$AA$11,3,FALSE)*D28,C57),"")</f>
        <v/>
      </c>
      <c r="E57" s="98" t="str">
        <f>IFERROR(IF(E$9&lt;($C57+6),HLOOKUP($C57,$D$9:$AA$11,3,FALSE)*E28,D57),"")</f>
        <v/>
      </c>
      <c r="F57" s="98" t="str">
        <f>IFERROR(IF(F$9&lt;($C57+6),HLOOKUP($C57,$D$9:$AA$11,3,FALSE)*F28,E57),"")</f>
        <v/>
      </c>
      <c r="G57" s="98" t="str">
        <f>IFERROR(IF(G$9&lt;($C57+6),HLOOKUP($C57,$D$9:$AA$11,3,FALSE)*G28,F57),"")</f>
        <v/>
      </c>
      <c r="H57" s="98" t="str">
        <f>IFERROR(IF(H$9&lt;($C57+6),HLOOKUP($C57,$D$9:$AA$11,3,FALSE)*H28,G57),"")</f>
        <v/>
      </c>
      <c r="I57" s="98" t="str">
        <f>IFERROR(IF(I$9&lt;($C57+6),HLOOKUP($C57,$D$9:$AA$11,3,FALSE)*I28,H57),"")</f>
        <v/>
      </c>
      <c r="J57" s="98" t="str">
        <f>IFERROR(IF(J$9&lt;($C57+6),HLOOKUP($C57,$D$9:$AA$11,3,FALSE)*J28,I57),"")</f>
        <v/>
      </c>
      <c r="K57" s="98" t="str">
        <f>IFERROR(IF(K$9&lt;($C57+6),HLOOKUP($C57,$D$9:$AA$11,3,FALSE)*K28,J57),"")</f>
        <v/>
      </c>
      <c r="L57" s="98" t="str">
        <f>IFERROR(IF(L$9&lt;($C57+6),HLOOKUP($C57,$D$9:$AA$11,3,FALSE)*L28,K57),"")</f>
        <v/>
      </c>
      <c r="M57" s="98" t="str">
        <f>IFERROR(IF(M$9&lt;($C57+6),HLOOKUP($C57,$D$9:$AA$11,3,FALSE)*M28,L57),"")</f>
        <v/>
      </c>
      <c r="N57" s="98"/>
      <c r="O57" s="98"/>
      <c r="P57" s="98"/>
      <c r="Q57" s="98"/>
      <c r="R57" s="98"/>
      <c r="S57" s="98"/>
      <c r="T57" s="98"/>
      <c r="U57" s="98"/>
      <c r="V57" s="98"/>
      <c r="W57" s="98"/>
      <c r="X57" s="98"/>
      <c r="Y57" s="98"/>
      <c r="Z57" s="98"/>
      <c r="AA57" s="98"/>
    </row>
    <row r="58" spans="3:27" outlineLevel="1" x14ac:dyDescent="0.35">
      <c r="C58" s="93">
        <f t="shared" si="5"/>
        <v>14</v>
      </c>
      <c r="D58" s="98" t="str">
        <f>IFERROR(IF(D$9&lt;($C58+6),HLOOKUP($C58,$D$9:$AA$11,3,FALSE)*D29,C58),"")</f>
        <v/>
      </c>
      <c r="E58" s="98" t="str">
        <f>IFERROR(IF(E$9&lt;($C58+6),HLOOKUP($C58,$D$9:$AA$11,3,FALSE)*E29,D58),"")</f>
        <v/>
      </c>
      <c r="F58" s="98" t="str">
        <f>IFERROR(IF(F$9&lt;($C58+6),HLOOKUP($C58,$D$9:$AA$11,3,FALSE)*F29,E58),"")</f>
        <v/>
      </c>
      <c r="G58" s="98" t="str">
        <f>IFERROR(IF(G$9&lt;($C58+6),HLOOKUP($C58,$D$9:$AA$11,3,FALSE)*G29,F58),"")</f>
        <v/>
      </c>
      <c r="H58" s="98" t="str">
        <f>IFERROR(IF(H$9&lt;($C58+6),HLOOKUP($C58,$D$9:$AA$11,3,FALSE)*H29,G58),"")</f>
        <v/>
      </c>
      <c r="I58" s="98" t="str">
        <f>IFERROR(IF(I$9&lt;($C58+6),HLOOKUP($C58,$D$9:$AA$11,3,FALSE)*I29,H58),"")</f>
        <v/>
      </c>
      <c r="J58" s="98" t="str">
        <f>IFERROR(IF(J$9&lt;($C58+6),HLOOKUP($C58,$D$9:$AA$11,3,FALSE)*J29,I58),"")</f>
        <v/>
      </c>
      <c r="K58" s="98" t="str">
        <f>IFERROR(IF(K$9&lt;($C58+6),HLOOKUP($C58,$D$9:$AA$11,3,FALSE)*K29,J58),"")</f>
        <v/>
      </c>
      <c r="L58" s="98" t="str">
        <f>IFERROR(IF(L$9&lt;($C58+6),HLOOKUP($C58,$D$9:$AA$11,3,FALSE)*L29,K58),"")</f>
        <v/>
      </c>
      <c r="M58" s="98" t="str">
        <f>IFERROR(IF(M$9&lt;($C58+6),HLOOKUP($C58,$D$9:$AA$11,3,FALSE)*M29,L58),"")</f>
        <v/>
      </c>
      <c r="N58" s="98"/>
      <c r="O58" s="98"/>
      <c r="P58" s="98"/>
      <c r="Q58" s="98"/>
      <c r="R58" s="98"/>
      <c r="S58" s="98"/>
      <c r="T58" s="98"/>
      <c r="U58" s="98"/>
      <c r="V58" s="98"/>
      <c r="W58" s="98"/>
      <c r="X58" s="98"/>
      <c r="Y58" s="98"/>
      <c r="Z58" s="98"/>
      <c r="AA58" s="98"/>
    </row>
    <row r="59" spans="3:27" outlineLevel="1" x14ac:dyDescent="0.35">
      <c r="C59" s="93">
        <f t="shared" si="5"/>
        <v>15</v>
      </c>
      <c r="D59" s="98" t="str">
        <f>IFERROR(IF(D$9&lt;($C59+6),HLOOKUP($C59,$D$9:$AA$11,3,FALSE)*D30,C59),"")</f>
        <v/>
      </c>
      <c r="E59" s="98" t="str">
        <f>IFERROR(IF(E$9&lt;($C59+6),HLOOKUP($C59,$D$9:$AA$11,3,FALSE)*E30,D59),"")</f>
        <v/>
      </c>
      <c r="F59" s="98" t="str">
        <f>IFERROR(IF(F$9&lt;($C59+6),HLOOKUP($C59,$D$9:$AA$11,3,FALSE)*F30,E59),"")</f>
        <v/>
      </c>
      <c r="G59" s="98" t="str">
        <f>IFERROR(IF(G$9&lt;($C59+6),HLOOKUP($C59,$D$9:$AA$11,3,FALSE)*G30,F59),"")</f>
        <v/>
      </c>
      <c r="H59" s="98" t="str">
        <f>IFERROR(IF(H$9&lt;($C59+6),HLOOKUP($C59,$D$9:$AA$11,3,FALSE)*H30,G59),"")</f>
        <v/>
      </c>
      <c r="I59" s="98" t="str">
        <f>IFERROR(IF(I$9&lt;($C59+6),HLOOKUP($C59,$D$9:$AA$11,3,FALSE)*I30,H59),"")</f>
        <v/>
      </c>
      <c r="J59" s="98" t="str">
        <f>IFERROR(IF(J$9&lt;($C59+6),HLOOKUP($C59,$D$9:$AA$11,3,FALSE)*J30,I59),"")</f>
        <v/>
      </c>
      <c r="K59" s="98" t="str">
        <f>IFERROR(IF(K$9&lt;($C59+6),HLOOKUP($C59,$D$9:$AA$11,3,FALSE)*K30,J59),"")</f>
        <v/>
      </c>
      <c r="L59" s="98" t="str">
        <f>IFERROR(IF(L$9&lt;($C59+6),HLOOKUP($C59,$D$9:$AA$11,3,FALSE)*L30,K59),"")</f>
        <v/>
      </c>
      <c r="M59" s="98" t="str">
        <f>IFERROR(IF(M$9&lt;($C59+6),HLOOKUP($C59,$D$9:$AA$11,3,FALSE)*M30,L59),"")</f>
        <v/>
      </c>
      <c r="N59" s="98"/>
      <c r="O59" s="98"/>
      <c r="P59" s="98"/>
      <c r="Q59" s="98"/>
      <c r="R59" s="98"/>
      <c r="S59" s="98"/>
      <c r="T59" s="98"/>
      <c r="U59" s="98"/>
      <c r="V59" s="98"/>
      <c r="W59" s="98"/>
      <c r="X59" s="98"/>
      <c r="Y59" s="98"/>
      <c r="Z59" s="98"/>
      <c r="AA59" s="98"/>
    </row>
    <row r="60" spans="3:27" outlineLevel="1" x14ac:dyDescent="0.35">
      <c r="C60" s="93">
        <f t="shared" si="5"/>
        <v>16</v>
      </c>
      <c r="D60" s="98" t="str">
        <f>IFERROR(IF(D$9&lt;($C60+6),HLOOKUP($C60,$D$9:$AA$11,3,FALSE)*D31,C60),"")</f>
        <v/>
      </c>
      <c r="E60" s="98" t="str">
        <f>IFERROR(IF(E$9&lt;($C60+6),HLOOKUP($C60,$D$9:$AA$11,3,FALSE)*E31,D60),"")</f>
        <v/>
      </c>
      <c r="F60" s="98" t="str">
        <f>IFERROR(IF(F$9&lt;($C60+6),HLOOKUP($C60,$D$9:$AA$11,3,FALSE)*F31,E60),"")</f>
        <v/>
      </c>
      <c r="G60" s="98" t="str">
        <f>IFERROR(IF(G$9&lt;($C60+6),HLOOKUP($C60,$D$9:$AA$11,3,FALSE)*G31,F60),"")</f>
        <v/>
      </c>
      <c r="H60" s="98" t="str">
        <f>IFERROR(IF(H$9&lt;($C60+6),HLOOKUP($C60,$D$9:$AA$11,3,FALSE)*H31,G60),"")</f>
        <v/>
      </c>
      <c r="I60" s="98" t="str">
        <f>IFERROR(IF(I$9&lt;($C60+6),HLOOKUP($C60,$D$9:$AA$11,3,FALSE)*I31,H60),"")</f>
        <v/>
      </c>
      <c r="J60" s="98" t="str">
        <f>IFERROR(IF(J$9&lt;($C60+6),HLOOKUP($C60,$D$9:$AA$11,3,FALSE)*J31,I60),"")</f>
        <v/>
      </c>
      <c r="K60" s="98" t="str">
        <f>IFERROR(IF(K$9&lt;($C60+6),HLOOKUP($C60,$D$9:$AA$11,3,FALSE)*K31,J60),"")</f>
        <v/>
      </c>
      <c r="L60" s="98" t="str">
        <f>IFERROR(IF(L$9&lt;($C60+6),HLOOKUP($C60,$D$9:$AA$11,3,FALSE)*L31,K60),"")</f>
        <v/>
      </c>
      <c r="M60" s="98" t="str">
        <f>IFERROR(IF(M$9&lt;($C60+6),HLOOKUP($C60,$D$9:$AA$11,3,FALSE)*M31,L60),"")</f>
        <v/>
      </c>
      <c r="N60" s="98"/>
      <c r="O60" s="98"/>
      <c r="P60" s="98"/>
      <c r="Q60" s="98"/>
      <c r="R60" s="98"/>
      <c r="S60" s="98"/>
      <c r="T60" s="98"/>
      <c r="U60" s="98"/>
      <c r="V60" s="98"/>
      <c r="W60" s="98"/>
      <c r="X60" s="98"/>
      <c r="Y60" s="98"/>
      <c r="Z60" s="98"/>
      <c r="AA60" s="98"/>
    </row>
    <row r="61" spans="3:27" outlineLevel="1" x14ac:dyDescent="0.35">
      <c r="C61" s="93">
        <f t="shared" si="5"/>
        <v>17</v>
      </c>
      <c r="D61" s="98" t="str">
        <f>IFERROR(IF(D$9&lt;($C61+6),HLOOKUP($C61,$D$9:$AA$11,3,FALSE)*D32,C61),"")</f>
        <v/>
      </c>
      <c r="E61" s="98" t="str">
        <f>IFERROR(IF(E$9&lt;($C61+6),HLOOKUP($C61,$D$9:$AA$11,3,FALSE)*E32,D61),"")</f>
        <v/>
      </c>
      <c r="F61" s="98" t="str">
        <f>IFERROR(IF(F$9&lt;($C61+6),HLOOKUP($C61,$D$9:$AA$11,3,FALSE)*F32,E61),"")</f>
        <v/>
      </c>
      <c r="G61" s="98" t="str">
        <f>IFERROR(IF(G$9&lt;($C61+6),HLOOKUP($C61,$D$9:$AA$11,3,FALSE)*G32,F61),"")</f>
        <v/>
      </c>
      <c r="H61" s="98" t="str">
        <f>IFERROR(IF(H$9&lt;($C61+6),HLOOKUP($C61,$D$9:$AA$11,3,FALSE)*H32,G61),"")</f>
        <v/>
      </c>
      <c r="I61" s="98" t="str">
        <f>IFERROR(IF(I$9&lt;($C61+6),HLOOKUP($C61,$D$9:$AA$11,3,FALSE)*I32,H61),"")</f>
        <v/>
      </c>
      <c r="J61" s="98" t="str">
        <f>IFERROR(IF(J$9&lt;($C61+6),HLOOKUP($C61,$D$9:$AA$11,3,FALSE)*J32,I61),"")</f>
        <v/>
      </c>
      <c r="K61" s="98" t="str">
        <f>IFERROR(IF(K$9&lt;($C61+6),HLOOKUP($C61,$D$9:$AA$11,3,FALSE)*K32,J61),"")</f>
        <v/>
      </c>
      <c r="L61" s="98" t="str">
        <f>IFERROR(IF(L$9&lt;($C61+6),HLOOKUP($C61,$D$9:$AA$11,3,FALSE)*L32,K61),"")</f>
        <v/>
      </c>
      <c r="M61" s="98" t="str">
        <f>IFERROR(IF(M$9&lt;($C61+6),HLOOKUP($C61,$D$9:$AA$11,3,FALSE)*M32,L61),"")</f>
        <v/>
      </c>
      <c r="N61" s="98"/>
      <c r="O61" s="98"/>
      <c r="P61" s="98"/>
      <c r="Q61" s="98"/>
      <c r="R61" s="98"/>
      <c r="S61" s="98"/>
      <c r="T61" s="98"/>
      <c r="U61" s="98"/>
      <c r="V61" s="98"/>
      <c r="W61" s="98"/>
      <c r="X61" s="98"/>
      <c r="Y61" s="98"/>
      <c r="Z61" s="98"/>
      <c r="AA61" s="98"/>
    </row>
    <row r="62" spans="3:27" outlineLevel="1" x14ac:dyDescent="0.35">
      <c r="C62" s="93">
        <f t="shared" si="5"/>
        <v>18</v>
      </c>
      <c r="D62" s="98" t="str">
        <f>IFERROR(IF(D$9&lt;($C62+6),HLOOKUP($C62,$D$9:$AA$11,3,FALSE)*D33,C62),"")</f>
        <v/>
      </c>
      <c r="E62" s="98" t="str">
        <f>IFERROR(IF(E$9&lt;($C62+6),HLOOKUP($C62,$D$9:$AA$11,3,FALSE)*E33,D62),"")</f>
        <v/>
      </c>
      <c r="F62" s="98" t="str">
        <f>IFERROR(IF(F$9&lt;($C62+6),HLOOKUP($C62,$D$9:$AA$11,3,FALSE)*F33,E62),"")</f>
        <v/>
      </c>
      <c r="G62" s="98" t="str">
        <f>IFERROR(IF(G$9&lt;($C62+6),HLOOKUP($C62,$D$9:$AA$11,3,FALSE)*G33,F62),"")</f>
        <v/>
      </c>
      <c r="H62" s="98" t="str">
        <f>IFERROR(IF(H$9&lt;($C62+6),HLOOKUP($C62,$D$9:$AA$11,3,FALSE)*H33,G62),"")</f>
        <v/>
      </c>
      <c r="I62" s="98" t="str">
        <f>IFERROR(IF(I$9&lt;($C62+6),HLOOKUP($C62,$D$9:$AA$11,3,FALSE)*I33,H62),"")</f>
        <v/>
      </c>
      <c r="J62" s="98" t="str">
        <f>IFERROR(IF(J$9&lt;($C62+6),HLOOKUP($C62,$D$9:$AA$11,3,FALSE)*J33,I62),"")</f>
        <v/>
      </c>
      <c r="K62" s="98" t="str">
        <f>IFERROR(IF(K$9&lt;($C62+6),HLOOKUP($C62,$D$9:$AA$11,3,FALSE)*K33,J62),"")</f>
        <v/>
      </c>
      <c r="L62" s="98" t="str">
        <f>IFERROR(IF(L$9&lt;($C62+6),HLOOKUP($C62,$D$9:$AA$11,3,FALSE)*L33,K62),"")</f>
        <v/>
      </c>
      <c r="M62" s="98" t="str">
        <f>IFERROR(IF(M$9&lt;($C62+6),HLOOKUP($C62,$D$9:$AA$11,3,FALSE)*M33,L62),"")</f>
        <v/>
      </c>
      <c r="N62" s="98"/>
      <c r="O62" s="98"/>
      <c r="P62" s="98"/>
      <c r="Q62" s="98"/>
      <c r="R62" s="98"/>
      <c r="S62" s="98"/>
      <c r="T62" s="98"/>
      <c r="U62" s="98"/>
      <c r="V62" s="98"/>
      <c r="W62" s="98"/>
      <c r="X62" s="98"/>
      <c r="Y62" s="98"/>
      <c r="Z62" s="98"/>
      <c r="AA62" s="98"/>
    </row>
    <row r="63" spans="3:27" outlineLevel="1" x14ac:dyDescent="0.35">
      <c r="C63" s="93">
        <f t="shared" si="5"/>
        <v>19</v>
      </c>
      <c r="D63" s="98" t="str">
        <f>IFERROR(IF(D$9&lt;($C63+6),HLOOKUP($C63,$D$9:$AA$11,3,FALSE)*D34,C63),"")</f>
        <v/>
      </c>
      <c r="E63" s="98" t="str">
        <f>IFERROR(IF(E$9&lt;($C63+6),HLOOKUP($C63,$D$9:$AA$11,3,FALSE)*E34,D63),"")</f>
        <v/>
      </c>
      <c r="F63" s="98" t="str">
        <f>IFERROR(IF(F$9&lt;($C63+6),HLOOKUP($C63,$D$9:$AA$11,3,FALSE)*F34,E63),"")</f>
        <v/>
      </c>
      <c r="G63" s="98" t="str">
        <f>IFERROR(IF(G$9&lt;($C63+6),HLOOKUP($C63,$D$9:$AA$11,3,FALSE)*G34,F63),"")</f>
        <v/>
      </c>
      <c r="H63" s="98" t="str">
        <f>IFERROR(IF(H$9&lt;($C63+6),HLOOKUP($C63,$D$9:$AA$11,3,FALSE)*H34,G63),"")</f>
        <v/>
      </c>
      <c r="I63" s="98" t="str">
        <f>IFERROR(IF(I$9&lt;($C63+6),HLOOKUP($C63,$D$9:$AA$11,3,FALSE)*I34,H63),"")</f>
        <v/>
      </c>
      <c r="J63" s="98" t="str">
        <f>IFERROR(IF(J$9&lt;($C63+6),HLOOKUP($C63,$D$9:$AA$11,3,FALSE)*J34,I63),"")</f>
        <v/>
      </c>
      <c r="K63" s="98" t="str">
        <f>IFERROR(IF(K$9&lt;($C63+6),HLOOKUP($C63,$D$9:$AA$11,3,FALSE)*K34,J63),"")</f>
        <v/>
      </c>
      <c r="L63" s="98" t="str">
        <f>IFERROR(IF(L$9&lt;($C63+6),HLOOKUP($C63,$D$9:$AA$11,3,FALSE)*L34,K63),"")</f>
        <v/>
      </c>
      <c r="M63" s="98" t="str">
        <f>IFERROR(IF(M$9&lt;($C63+6),HLOOKUP($C63,$D$9:$AA$11,3,FALSE)*M34,L63),"")</f>
        <v/>
      </c>
      <c r="N63" s="98"/>
      <c r="O63" s="98"/>
      <c r="P63" s="98"/>
      <c r="Q63" s="98"/>
      <c r="R63" s="98"/>
      <c r="S63" s="98"/>
      <c r="T63" s="98"/>
      <c r="U63" s="98"/>
      <c r="V63" s="98"/>
      <c r="W63" s="98"/>
      <c r="X63" s="98"/>
      <c r="Y63" s="98"/>
      <c r="Z63" s="98"/>
      <c r="AA63" s="98"/>
    </row>
    <row r="64" spans="3:27" outlineLevel="1" x14ac:dyDescent="0.35">
      <c r="C64" s="93">
        <f t="shared" si="5"/>
        <v>20</v>
      </c>
      <c r="D64" s="98" t="str">
        <f>IFERROR(IF(D$9&lt;($C64+6),HLOOKUP($C64,$D$9:$AA$11,3,FALSE)*D35,C64),"")</f>
        <v/>
      </c>
      <c r="E64" s="98" t="str">
        <f>IFERROR(IF(E$9&lt;($C64+6),HLOOKUP($C64,$D$9:$AA$11,3,FALSE)*E35,D64),"")</f>
        <v/>
      </c>
      <c r="F64" s="98" t="str">
        <f>IFERROR(IF(F$9&lt;($C64+6),HLOOKUP($C64,$D$9:$AA$11,3,FALSE)*F35,E64),"")</f>
        <v/>
      </c>
      <c r="G64" s="98" t="str">
        <f>IFERROR(IF(G$9&lt;($C64+6),HLOOKUP($C64,$D$9:$AA$11,3,FALSE)*G35,F64),"")</f>
        <v/>
      </c>
      <c r="H64" s="98" t="str">
        <f>IFERROR(IF(H$9&lt;($C64+6),HLOOKUP($C64,$D$9:$AA$11,3,FALSE)*H35,G64),"")</f>
        <v/>
      </c>
      <c r="I64" s="98" t="str">
        <f>IFERROR(IF(I$9&lt;($C64+6),HLOOKUP($C64,$D$9:$AA$11,3,FALSE)*I35,H64),"")</f>
        <v/>
      </c>
      <c r="J64" s="98" t="str">
        <f>IFERROR(IF(J$9&lt;($C64+6),HLOOKUP($C64,$D$9:$AA$11,3,FALSE)*J35,I64),"")</f>
        <v/>
      </c>
      <c r="K64" s="98" t="str">
        <f>IFERROR(IF(K$9&lt;($C64+6),HLOOKUP($C64,$D$9:$AA$11,3,FALSE)*K35,J64),"")</f>
        <v/>
      </c>
      <c r="L64" s="98" t="str">
        <f>IFERROR(IF(L$9&lt;($C64+6),HLOOKUP($C64,$D$9:$AA$11,3,FALSE)*L35,K64),"")</f>
        <v/>
      </c>
      <c r="M64" s="98" t="str">
        <f>IFERROR(IF(M$9&lt;($C64+6),HLOOKUP($C64,$D$9:$AA$11,3,FALSE)*M35,L64),"")</f>
        <v/>
      </c>
      <c r="N64" s="98"/>
      <c r="O64" s="98"/>
      <c r="P64" s="98"/>
      <c r="Q64" s="98"/>
      <c r="R64" s="98"/>
      <c r="S64" s="98"/>
      <c r="T64" s="98"/>
      <c r="U64" s="98"/>
      <c r="V64" s="98"/>
      <c r="W64" s="98"/>
      <c r="X64" s="98"/>
      <c r="Y64" s="98"/>
      <c r="Z64" s="98"/>
      <c r="AA64" s="98"/>
    </row>
    <row r="65" spans="3:27" outlineLevel="1" x14ac:dyDescent="0.35">
      <c r="C65" s="93">
        <f t="shared" si="5"/>
        <v>21</v>
      </c>
      <c r="D65" s="98" t="str">
        <f>IFERROR(IF(D$9&lt;($C65+6),HLOOKUP($C65,$D$9:$AA$11,3,FALSE)*D36,C65),"")</f>
        <v/>
      </c>
      <c r="E65" s="98" t="str">
        <f>IFERROR(IF(E$9&lt;($C65+6),HLOOKUP($C65,$D$9:$AA$11,3,FALSE)*E36,D65),"")</f>
        <v/>
      </c>
      <c r="F65" s="98" t="str">
        <f>IFERROR(IF(F$9&lt;($C65+6),HLOOKUP($C65,$D$9:$AA$11,3,FALSE)*F36,E65),"")</f>
        <v/>
      </c>
      <c r="G65" s="98" t="str">
        <f>IFERROR(IF(G$9&lt;($C65+6),HLOOKUP($C65,$D$9:$AA$11,3,FALSE)*G36,F65),"")</f>
        <v/>
      </c>
      <c r="H65" s="98" t="str">
        <f>IFERROR(IF(H$9&lt;($C65+6),HLOOKUP($C65,$D$9:$AA$11,3,FALSE)*H36,G65),"")</f>
        <v/>
      </c>
      <c r="I65" s="98" t="str">
        <f>IFERROR(IF(I$9&lt;($C65+6),HLOOKUP($C65,$D$9:$AA$11,3,FALSE)*I36,H65),"")</f>
        <v/>
      </c>
      <c r="J65" s="98" t="str">
        <f>IFERROR(IF(J$9&lt;($C65+6),HLOOKUP($C65,$D$9:$AA$11,3,FALSE)*J36,I65),"")</f>
        <v/>
      </c>
      <c r="K65" s="98" t="str">
        <f>IFERROR(IF(K$9&lt;($C65+6),HLOOKUP($C65,$D$9:$AA$11,3,FALSE)*K36,J65),"")</f>
        <v/>
      </c>
      <c r="L65" s="98" t="str">
        <f>IFERROR(IF(L$9&lt;($C65+6),HLOOKUP($C65,$D$9:$AA$11,3,FALSE)*L36,K65),"")</f>
        <v/>
      </c>
      <c r="M65" s="98" t="str">
        <f>IFERROR(IF(M$9&lt;($C65+6),HLOOKUP($C65,$D$9:$AA$11,3,FALSE)*M36,L65),"")</f>
        <v/>
      </c>
      <c r="N65" s="98"/>
      <c r="O65" s="98"/>
      <c r="P65" s="98"/>
      <c r="Q65" s="98"/>
      <c r="R65" s="98"/>
      <c r="S65" s="98"/>
      <c r="T65" s="98"/>
      <c r="U65" s="98"/>
      <c r="V65" s="98"/>
      <c r="W65" s="98"/>
      <c r="X65" s="98"/>
      <c r="Y65" s="98"/>
      <c r="Z65" s="98"/>
      <c r="AA65" s="98"/>
    </row>
    <row r="66" spans="3:27" outlineLevel="1" x14ac:dyDescent="0.35">
      <c r="C66" s="93">
        <f t="shared" si="5"/>
        <v>22</v>
      </c>
      <c r="D66" s="98" t="str">
        <f>IFERROR(IF(D$9&lt;($C66+6),HLOOKUP($C66,$D$9:$AA$11,3,FALSE)*D37,C66),"")</f>
        <v/>
      </c>
      <c r="E66" s="98" t="str">
        <f>IFERROR(IF(E$9&lt;($C66+6),HLOOKUP($C66,$D$9:$AA$11,3,FALSE)*E37,D66),"")</f>
        <v/>
      </c>
      <c r="F66" s="98" t="str">
        <f>IFERROR(IF(F$9&lt;($C66+6),HLOOKUP($C66,$D$9:$AA$11,3,FALSE)*F37,E66),"")</f>
        <v/>
      </c>
      <c r="G66" s="98" t="str">
        <f>IFERROR(IF(G$9&lt;($C66+6),HLOOKUP($C66,$D$9:$AA$11,3,FALSE)*G37,F66),"")</f>
        <v/>
      </c>
      <c r="H66" s="98" t="str">
        <f>IFERROR(IF(H$9&lt;($C66+6),HLOOKUP($C66,$D$9:$AA$11,3,FALSE)*H37,G66),"")</f>
        <v/>
      </c>
      <c r="I66" s="98" t="str">
        <f>IFERROR(IF(I$9&lt;($C66+6),HLOOKUP($C66,$D$9:$AA$11,3,FALSE)*I37,H66),"")</f>
        <v/>
      </c>
      <c r="J66" s="98" t="str">
        <f>IFERROR(IF(J$9&lt;($C66+6),HLOOKUP($C66,$D$9:$AA$11,3,FALSE)*J37,I66),"")</f>
        <v/>
      </c>
      <c r="K66" s="98" t="str">
        <f>IFERROR(IF(K$9&lt;($C66+6),HLOOKUP($C66,$D$9:$AA$11,3,FALSE)*K37,J66),"")</f>
        <v/>
      </c>
      <c r="L66" s="98" t="str">
        <f>IFERROR(IF(L$9&lt;($C66+6),HLOOKUP($C66,$D$9:$AA$11,3,FALSE)*L37,K66),"")</f>
        <v/>
      </c>
      <c r="M66" s="98" t="str">
        <f>IFERROR(IF(M$9&lt;($C66+6),HLOOKUP($C66,$D$9:$AA$11,3,FALSE)*M37,L66),"")</f>
        <v/>
      </c>
      <c r="N66" s="98"/>
      <c r="O66" s="98"/>
      <c r="P66" s="98"/>
      <c r="Q66" s="98"/>
      <c r="R66" s="98"/>
      <c r="S66" s="98"/>
      <c r="T66" s="98"/>
      <c r="U66" s="98"/>
      <c r="V66" s="98"/>
      <c r="W66" s="98"/>
      <c r="X66" s="98"/>
      <c r="Y66" s="98"/>
      <c r="Z66" s="98"/>
      <c r="AA66" s="98"/>
    </row>
    <row r="67" spans="3:27" outlineLevel="1" x14ac:dyDescent="0.35">
      <c r="C67" s="93">
        <f t="shared" si="5"/>
        <v>23</v>
      </c>
      <c r="D67" s="98" t="str">
        <f>IFERROR(IF(D$9&lt;($C67+6),HLOOKUP($C67,$D$9:$AA$11,3,FALSE)*D38,C67),"")</f>
        <v/>
      </c>
      <c r="E67" s="98" t="str">
        <f>IFERROR(IF(E$9&lt;($C67+6),HLOOKUP($C67,$D$9:$AA$11,3,FALSE)*E38,D67),"")</f>
        <v/>
      </c>
      <c r="F67" s="98" t="str">
        <f>IFERROR(IF(F$9&lt;($C67+6),HLOOKUP($C67,$D$9:$AA$11,3,FALSE)*F38,E67),"")</f>
        <v/>
      </c>
      <c r="G67" s="98" t="str">
        <f>IFERROR(IF(G$9&lt;($C67+6),HLOOKUP($C67,$D$9:$AA$11,3,FALSE)*G38,F67),"")</f>
        <v/>
      </c>
      <c r="H67" s="98" t="str">
        <f>IFERROR(IF(H$9&lt;($C67+6),HLOOKUP($C67,$D$9:$AA$11,3,FALSE)*H38,G67),"")</f>
        <v/>
      </c>
      <c r="I67" s="98" t="str">
        <f>IFERROR(IF(I$9&lt;($C67+6),HLOOKUP($C67,$D$9:$AA$11,3,FALSE)*I38,H67),"")</f>
        <v/>
      </c>
      <c r="J67" s="98" t="str">
        <f>IFERROR(IF(J$9&lt;($C67+6),HLOOKUP($C67,$D$9:$AA$11,3,FALSE)*J38,I67),"")</f>
        <v/>
      </c>
      <c r="K67" s="98" t="str">
        <f>IFERROR(IF(K$9&lt;($C67+6),HLOOKUP($C67,$D$9:$AA$11,3,FALSE)*K38,J67),"")</f>
        <v/>
      </c>
      <c r="L67" s="98" t="str">
        <f>IFERROR(IF(L$9&lt;($C67+6),HLOOKUP($C67,$D$9:$AA$11,3,FALSE)*L38,K67),"")</f>
        <v/>
      </c>
      <c r="M67" s="98" t="str">
        <f>IFERROR(IF(M$9&lt;($C67+6),HLOOKUP($C67,$D$9:$AA$11,3,FALSE)*M38,L67),"")</f>
        <v/>
      </c>
      <c r="N67" s="98"/>
      <c r="O67" s="98"/>
      <c r="P67" s="98"/>
      <c r="Q67" s="98"/>
      <c r="R67" s="98"/>
      <c r="S67" s="98"/>
      <c r="T67" s="98"/>
      <c r="U67" s="98"/>
      <c r="V67" s="98"/>
      <c r="W67" s="98"/>
      <c r="X67" s="98"/>
      <c r="Y67" s="98"/>
      <c r="Z67" s="98"/>
      <c r="AA67" s="98"/>
    </row>
    <row r="68" spans="3:27" outlineLevel="1" x14ac:dyDescent="0.35">
      <c r="C68" s="93">
        <f t="shared" si="5"/>
        <v>24</v>
      </c>
      <c r="D68" s="98" t="str">
        <f>IFERROR(IF(D$9&lt;($C68+6),HLOOKUP($C68,$D$9:$AA$11,3,FALSE)*D39,C68),"")</f>
        <v/>
      </c>
      <c r="E68" s="98" t="str">
        <f>IFERROR(IF(E$9&lt;($C68+6),HLOOKUP($C68,$D$9:$AA$11,3,FALSE)*E39,D68),"")</f>
        <v/>
      </c>
      <c r="F68" s="98" t="str">
        <f>IFERROR(IF(F$9&lt;($C68+6),HLOOKUP($C68,$D$9:$AA$11,3,FALSE)*F39,E68),"")</f>
        <v/>
      </c>
      <c r="G68" s="98" t="str">
        <f>IFERROR(IF(G$9&lt;($C68+6),HLOOKUP($C68,$D$9:$AA$11,3,FALSE)*G39,F68),"")</f>
        <v/>
      </c>
      <c r="H68" s="98" t="str">
        <f>IFERROR(IF(H$9&lt;($C68+6),HLOOKUP($C68,$D$9:$AA$11,3,FALSE)*H39,G68),"")</f>
        <v/>
      </c>
      <c r="I68" s="98" t="str">
        <f>IFERROR(IF(I$9&lt;($C68+6),HLOOKUP($C68,$D$9:$AA$11,3,FALSE)*I39,H68),"")</f>
        <v/>
      </c>
      <c r="J68" s="98" t="str">
        <f>IFERROR(IF(J$9&lt;($C68+6),HLOOKUP($C68,$D$9:$AA$11,3,FALSE)*J39,I68),"")</f>
        <v/>
      </c>
      <c r="K68" s="98" t="str">
        <f>IFERROR(IF(K$9&lt;($C68+6),HLOOKUP($C68,$D$9:$AA$11,3,FALSE)*K39,J68),"")</f>
        <v/>
      </c>
      <c r="L68" s="98" t="str">
        <f>IFERROR(IF(L$9&lt;($C68+6),HLOOKUP($C68,$D$9:$AA$11,3,FALSE)*L39,K68),"")</f>
        <v/>
      </c>
      <c r="M68" s="98" t="str">
        <f>IFERROR(IF(M$9&lt;($C68+6),HLOOKUP($C68,$D$9:$AA$11,3,FALSE)*M39,L68),"")</f>
        <v/>
      </c>
      <c r="N68" s="98"/>
      <c r="O68" s="98"/>
      <c r="P68" s="98"/>
      <c r="Q68" s="98"/>
      <c r="R68" s="98"/>
      <c r="S68" s="98"/>
      <c r="T68" s="98"/>
      <c r="U68" s="98"/>
      <c r="V68" s="98"/>
      <c r="W68" s="98"/>
      <c r="X68" s="98"/>
      <c r="Y68" s="98"/>
      <c r="Z68" s="98"/>
      <c r="AA68" s="98"/>
    </row>
    <row r="69" spans="3:27" outlineLevel="1" x14ac:dyDescent="0.35"/>
    <row r="70" spans="3:27" outlineLevel="1" x14ac:dyDescent="0.35"/>
    <row r="71" spans="3:27" outlineLevel="1" x14ac:dyDescent="0.35"/>
    <row r="72" spans="3:27" ht="15.5" outlineLevel="1" x14ac:dyDescent="0.35">
      <c r="C72" s="96" t="s">
        <v>116</v>
      </c>
    </row>
    <row r="73" spans="3:27" outlineLevel="1" x14ac:dyDescent="0.35">
      <c r="C73" s="93">
        <v>1</v>
      </c>
      <c r="D73" s="99" t="str">
        <f>IF(AND(D$9&gt;($C73),D$9&lt;($C73+6)), D45-C45,"")</f>
        <v/>
      </c>
      <c r="E73" s="99">
        <f>IF(AND(E$9&gt;($C73),E$9&lt;($C73+6)), E45-D45,"")</f>
        <v>-19.5</v>
      </c>
      <c r="F73" s="99">
        <f>IF(AND(F$9&gt;($C73),F$9&lt;($C73+6)), F45-E45,"")</f>
        <v>-19.499999999999986</v>
      </c>
      <c r="G73" s="99">
        <f>IF(AND(G$9&gt;($C73),G$9&lt;($C73+6)), G45-F45,"")</f>
        <v>-83.850000000000023</v>
      </c>
      <c r="H73" s="99">
        <f>IF(AND(H$9&gt;($C73),H$9&lt;($C73+6)), H45-G45,"")</f>
        <v>-19.5</v>
      </c>
      <c r="I73" s="99">
        <f>IF(AND(I$9&gt;($C73),I$9&lt;($C73+6)), I45-H45,"")</f>
        <v>1.9499999999999997</v>
      </c>
      <c r="J73" s="99" t="str">
        <f>IF(AND(J$9&gt;($C73),J$9&lt;($C73+6)), J45-I45,"")</f>
        <v/>
      </c>
      <c r="K73" s="99" t="str">
        <f>IF(AND(K$9&gt;($C73),K$9&lt;($C73+6)), K45-J45,"")</f>
        <v/>
      </c>
      <c r="L73" s="99" t="str">
        <f>IF(AND(L$9&gt;($C73),L$9&lt;($C73+6)), L45-K45,"")</f>
        <v/>
      </c>
      <c r="M73" s="99" t="str">
        <f>IF(AND(M$9&gt;($C73),M$9&lt;($C73+6)), M45-L45,"")</f>
        <v/>
      </c>
      <c r="N73" s="99"/>
      <c r="O73" s="99"/>
      <c r="P73" s="99"/>
      <c r="Q73" s="99"/>
      <c r="R73" s="99"/>
      <c r="S73" s="99"/>
      <c r="T73" s="99"/>
      <c r="U73" s="99"/>
      <c r="V73" s="99"/>
      <c r="W73" s="99"/>
      <c r="X73" s="99"/>
      <c r="Y73" s="99"/>
      <c r="Z73" s="99"/>
      <c r="AA73" s="99"/>
    </row>
    <row r="74" spans="3:27" outlineLevel="1" x14ac:dyDescent="0.35">
      <c r="C74" s="93">
        <f>C73+1</f>
        <v>2</v>
      </c>
      <c r="D74" s="99" t="str">
        <f>IF(AND(D$9&gt;($C74),D$9&lt;($C74+6)), D46-C46,"")</f>
        <v/>
      </c>
      <c r="E74" s="99" t="str">
        <f>IF(AND(E$9&gt;($C74),E$9&lt;($C74+6)), E46-D46,"")</f>
        <v/>
      </c>
      <c r="F74" s="99">
        <f>IF(AND(F$9&gt;($C74),F$9&lt;($C74+6)), F46-E46,"")</f>
        <v>-30</v>
      </c>
      <c r="G74" s="99">
        <f>IF(AND(G$9&gt;($C74),G$9&lt;($C74+6)), G46-F46,"")</f>
        <v>-30</v>
      </c>
      <c r="H74" s="99">
        <f>IF(AND(H$9&gt;($C74),H$9&lt;($C74+6)), H46-G46,"")</f>
        <v>-129</v>
      </c>
      <c r="I74" s="99">
        <f>IF(AND(I$9&gt;($C74),I$9&lt;($C74+6)), I46-H46,"")</f>
        <v>-30</v>
      </c>
      <c r="J74" s="99">
        <f>IF(AND(J$9&gt;($C74),J$9&lt;($C74+6)), J46-I46,"")</f>
        <v>3</v>
      </c>
      <c r="K74" s="99" t="str">
        <f>IF(AND(K$9&gt;($C74),K$9&lt;($C74+6)), K46-J46,"")</f>
        <v/>
      </c>
      <c r="L74" s="99" t="str">
        <f>IF(AND(L$9&gt;($C74),L$9&lt;($C74+6)), L46-K46,"")</f>
        <v/>
      </c>
      <c r="M74" s="99" t="str">
        <f>IF(AND(M$9&gt;($C74),M$9&lt;($C74+6)), M46-L46,"")</f>
        <v/>
      </c>
      <c r="N74" s="99"/>
      <c r="O74" s="99"/>
      <c r="P74" s="99"/>
      <c r="Q74" s="99"/>
      <c r="R74" s="99"/>
      <c r="S74" s="99"/>
      <c r="T74" s="99"/>
      <c r="U74" s="99"/>
      <c r="V74" s="99"/>
      <c r="W74" s="99"/>
      <c r="X74" s="99"/>
      <c r="Y74" s="99"/>
      <c r="Z74" s="99"/>
      <c r="AA74" s="99"/>
    </row>
    <row r="75" spans="3:27" outlineLevel="1" x14ac:dyDescent="0.35">
      <c r="C75" s="93">
        <f t="shared" ref="C75:C96" si="6">C74+1</f>
        <v>3</v>
      </c>
      <c r="D75" s="99" t="str">
        <f>IF(AND(D$9&gt;($C75),D$9&lt;($C75+6)), D47-C47,"")</f>
        <v/>
      </c>
      <c r="E75" s="99" t="str">
        <f>IF(AND(E$9&gt;($C75),E$9&lt;($C75+6)), E47-D47,"")</f>
        <v/>
      </c>
      <c r="F75" s="99" t="str">
        <f>IF(AND(F$9&gt;($C75),F$9&lt;($C75+6)), F47-E47,"")</f>
        <v/>
      </c>
      <c r="G75" s="99">
        <f>IF(AND(G$9&gt;($C75),G$9&lt;($C75+6)), G47-F47,"")</f>
        <v>-49.5</v>
      </c>
      <c r="H75" s="99">
        <f>IF(AND(H$9&gt;($C75),H$9&lt;($C75+6)), H47-G47,"")</f>
        <v>-49.5</v>
      </c>
      <c r="I75" s="99">
        <f>IF(AND(I$9&gt;($C75),I$9&lt;($C75+6)), I47-H47,"")</f>
        <v>-212.85</v>
      </c>
      <c r="J75" s="99">
        <f>IF(AND(J$9&gt;($C75),J$9&lt;($C75+6)), J47-I47,"")</f>
        <v>-49.5</v>
      </c>
      <c r="K75" s="99">
        <f>IF(AND(K$9&gt;($C75),K$9&lt;($C75+6)), K47-J47,"")</f>
        <v>4.9499999999999993</v>
      </c>
      <c r="L75" s="99" t="str">
        <f>IF(AND(L$9&gt;($C75),L$9&lt;($C75+6)), L47-K47,"")</f>
        <v/>
      </c>
      <c r="M75" s="99" t="str">
        <f>IF(AND(M$9&gt;($C75),M$9&lt;($C75+6)), M47-L47,"")</f>
        <v/>
      </c>
      <c r="N75" s="99"/>
      <c r="O75" s="99"/>
      <c r="P75" s="99"/>
      <c r="Q75" s="99"/>
      <c r="R75" s="99"/>
      <c r="S75" s="99"/>
      <c r="T75" s="99"/>
      <c r="U75" s="99"/>
      <c r="V75" s="99"/>
      <c r="W75" s="99"/>
      <c r="X75" s="99"/>
      <c r="Y75" s="99"/>
      <c r="Z75" s="99"/>
      <c r="AA75" s="99"/>
    </row>
    <row r="76" spans="3:27" outlineLevel="1" x14ac:dyDescent="0.35">
      <c r="C76" s="93">
        <f t="shared" si="6"/>
        <v>4</v>
      </c>
      <c r="D76" s="99" t="str">
        <f>IF(AND(D$9&gt;($C76),D$9&lt;($C76+6)), D48-C48,"")</f>
        <v/>
      </c>
      <c r="E76" s="99" t="str">
        <f>IF(AND(E$9&gt;($C76),E$9&lt;($C76+6)), E48-D48,"")</f>
        <v/>
      </c>
      <c r="F76" s="99" t="str">
        <f>IF(AND(F$9&gt;($C76),F$9&lt;($C76+6)), F48-E48,"")</f>
        <v/>
      </c>
      <c r="G76" s="99" t="str">
        <f>IF(AND(G$9&gt;($C76),G$9&lt;($C76+6)), G48-F48,"")</f>
        <v/>
      </c>
      <c r="H76" s="99">
        <f>IF(AND(H$9&gt;($C76),H$9&lt;($C76+6)), H48-G48,"")</f>
        <v>-93.919693466859371</v>
      </c>
      <c r="I76" s="99">
        <f>IF(AND(I$9&gt;($C76),I$9&lt;($C76+6)), I48-H48,"")</f>
        <v>-93.919693466859371</v>
      </c>
      <c r="J76" s="99">
        <f>IF(AND(J$9&gt;($C76),J$9&lt;($C76+6)), J48-I48,"")</f>
        <v>-403.85468190749532</v>
      </c>
      <c r="K76" s="99">
        <f>IF(AND(K$9&gt;($C76),K$9&lt;($C76+6)), K48-J48,"")</f>
        <v>-93.919693466859357</v>
      </c>
      <c r="L76" s="99">
        <f>IF(AND(L$9&gt;($C76),L$9&lt;($C76+6)), L48-K48,"")</f>
        <v>9.3919693466859329</v>
      </c>
      <c r="M76" s="99" t="str">
        <f>IF(AND(M$9&gt;($C76),M$9&lt;($C76+6)), M48-L48,"")</f>
        <v/>
      </c>
      <c r="N76" s="99"/>
      <c r="O76" s="99"/>
      <c r="P76" s="99"/>
      <c r="Q76" s="99"/>
      <c r="R76" s="99"/>
      <c r="S76" s="99"/>
      <c r="T76" s="99"/>
      <c r="U76" s="99"/>
      <c r="V76" s="99"/>
      <c r="W76" s="99"/>
      <c r="X76" s="99"/>
      <c r="Y76" s="99"/>
      <c r="Z76" s="99"/>
      <c r="AA76" s="99"/>
    </row>
    <row r="77" spans="3:27" outlineLevel="1" x14ac:dyDescent="0.35">
      <c r="C77" s="93">
        <f t="shared" si="6"/>
        <v>5</v>
      </c>
      <c r="D77" s="99" t="str">
        <f>IF(AND(D$9&gt;($C77),D$9&lt;($C77+6)), D49-C49,"")</f>
        <v/>
      </c>
      <c r="E77" s="99" t="str">
        <f>IF(AND(E$9&gt;($C77),E$9&lt;($C77+6)), E49-D49,"")</f>
        <v/>
      </c>
      <c r="F77" s="99" t="str">
        <f>IF(AND(F$9&gt;($C77),F$9&lt;($C77+6)), F49-E49,"")</f>
        <v/>
      </c>
      <c r="G77" s="99" t="str">
        <f>IF(AND(G$9&gt;($C77),G$9&lt;($C77+6)), G49-F49,"")</f>
        <v/>
      </c>
      <c r="H77" s="99" t="str">
        <f>IF(AND(H$9&gt;($C77),H$9&lt;($C77+6)), H49-G49,"")</f>
        <v/>
      </c>
      <c r="I77" s="99">
        <f>IF(AND(I$9&gt;($C77),I$9&lt;($C77+6)), I49-H49,"")</f>
        <v>-103.31166281354524</v>
      </c>
      <c r="J77" s="99">
        <f>IF(AND(J$9&gt;($C77),J$9&lt;($C77+6)), J49-I49,"")</f>
        <v>-103.31166281354524</v>
      </c>
      <c r="K77" s="99">
        <f>IF(AND(K$9&gt;($C77),K$9&lt;($C77+6)), K49-J49,"")</f>
        <v>-444.24015009824467</v>
      </c>
      <c r="L77" s="99">
        <f>IF(AND(L$9&gt;($C77),L$9&lt;($C77+6)), L49-K49,"")</f>
        <v>-103.31166281354525</v>
      </c>
      <c r="M77" s="99">
        <f>IF(AND(M$9&gt;($C77),M$9&lt;($C77+6)), M49-L49,"")</f>
        <v>10.331166281354523</v>
      </c>
      <c r="N77" s="99"/>
      <c r="O77" s="99"/>
      <c r="P77" s="99"/>
      <c r="Q77" s="99"/>
      <c r="R77" s="99"/>
      <c r="S77" s="99"/>
      <c r="T77" s="99"/>
      <c r="U77" s="99"/>
      <c r="V77" s="99"/>
      <c r="W77" s="99"/>
      <c r="X77" s="99"/>
      <c r="Y77" s="99"/>
      <c r="Z77" s="99"/>
      <c r="AA77" s="99"/>
    </row>
    <row r="78" spans="3:27" outlineLevel="1" x14ac:dyDescent="0.35">
      <c r="C78" s="93">
        <f t="shared" si="6"/>
        <v>6</v>
      </c>
      <c r="D78" s="99" t="str">
        <f>IF(AND(D$9&gt;($C78),D$9&lt;($C78+6)), D50-C50,"")</f>
        <v/>
      </c>
      <c r="E78" s="99" t="str">
        <f>IF(AND(E$9&gt;($C78),E$9&lt;($C78+6)), E50-D50,"")</f>
        <v/>
      </c>
      <c r="F78" s="99" t="str">
        <f>IF(AND(F$9&gt;($C78),F$9&lt;($C78+6)), F50-E50,"")</f>
        <v/>
      </c>
      <c r="G78" s="99" t="str">
        <f>IF(AND(G$9&gt;($C78),G$9&lt;($C78+6)), G50-F50,"")</f>
        <v/>
      </c>
      <c r="H78" s="99" t="str">
        <f>IF(AND(H$9&gt;($C78),H$9&lt;($C78+6)), H50-G50,"")</f>
        <v/>
      </c>
      <c r="I78" s="99" t="str">
        <f>IF(AND(I$9&gt;($C78),I$9&lt;($C78+6)), I50-H50,"")</f>
        <v/>
      </c>
      <c r="J78" s="99">
        <f>IF(AND(J$9&gt;($C78),J$9&lt;($C78+6)), J50-I50,"")</f>
        <v>-113.64282909489987</v>
      </c>
      <c r="K78" s="99">
        <f>IF(AND(K$9&gt;($C78),K$9&lt;($C78+6)), K50-J50,"")</f>
        <v>-113.64282909489975</v>
      </c>
      <c r="L78" s="99">
        <f>IF(AND(L$9&gt;($C78),L$9&lt;($C78+6)), L50-K50,"")</f>
        <v>-488.66416510806937</v>
      </c>
      <c r="M78" s="99">
        <f>IF(AND(M$9&gt;($C78),M$9&lt;($C78+6)), M50-L50,"")</f>
        <v>-113.64282909489984</v>
      </c>
      <c r="N78" s="99"/>
      <c r="O78" s="99"/>
      <c r="P78" s="99"/>
      <c r="Q78" s="99"/>
      <c r="R78" s="99"/>
      <c r="S78" s="99"/>
      <c r="T78" s="99"/>
      <c r="U78" s="99"/>
      <c r="V78" s="99"/>
      <c r="W78" s="99"/>
      <c r="X78" s="99"/>
      <c r="Y78" s="99"/>
      <c r="Z78" s="99"/>
      <c r="AA78" s="99"/>
    </row>
    <row r="79" spans="3:27" outlineLevel="1" x14ac:dyDescent="0.35">
      <c r="C79" s="93">
        <f t="shared" si="6"/>
        <v>7</v>
      </c>
      <c r="D79" s="99" t="str">
        <f>IF(AND(D$9&gt;($C79),D$9&lt;($C79+6)), D51-C51,"")</f>
        <v/>
      </c>
      <c r="E79" s="99" t="str">
        <f>IF(AND(E$9&gt;($C79),E$9&lt;($C79+6)), E51-D51,"")</f>
        <v/>
      </c>
      <c r="F79" s="99" t="str">
        <f>IF(AND(F$9&gt;($C79),F$9&lt;($C79+6)), F51-E51,"")</f>
        <v/>
      </c>
      <c r="G79" s="99" t="str">
        <f>IF(AND(G$9&gt;($C79),G$9&lt;($C79+6)), G51-F51,"")</f>
        <v/>
      </c>
      <c r="H79" s="99" t="str">
        <f>IF(AND(H$9&gt;($C79),H$9&lt;($C79+6)), H51-G51,"")</f>
        <v/>
      </c>
      <c r="I79" s="99" t="str">
        <f>IF(AND(I$9&gt;($C79),I$9&lt;($C79+6)), I51-H51,"")</f>
        <v/>
      </c>
      <c r="J79" s="99" t="str">
        <f>IF(AND(J$9&gt;($C79),J$9&lt;($C79+6)), J51-I51,"")</f>
        <v/>
      </c>
      <c r="K79" s="99">
        <f>IF(AND(K$9&gt;($C79),K$9&lt;($C79+6)), K51-J51,"")</f>
        <v>-125.0071120043898</v>
      </c>
      <c r="L79" s="99">
        <f>IF(AND(L$9&gt;($C79),L$9&lt;($C79+6)), L51-K51,"")</f>
        <v>-125.0071120043898</v>
      </c>
      <c r="M79" s="99">
        <f>IF(AND(M$9&gt;($C79),M$9&lt;($C79+6)), M51-L51,"")</f>
        <v>-537.53058161887634</v>
      </c>
      <c r="N79" s="99"/>
      <c r="O79" s="99"/>
      <c r="P79" s="99"/>
      <c r="Q79" s="99"/>
      <c r="R79" s="99"/>
      <c r="S79" s="99"/>
      <c r="T79" s="99"/>
      <c r="U79" s="99"/>
      <c r="V79" s="99"/>
      <c r="W79" s="99"/>
      <c r="X79" s="99"/>
      <c r="Y79" s="99"/>
      <c r="Z79" s="99"/>
      <c r="AA79" s="99"/>
    </row>
    <row r="80" spans="3:27" outlineLevel="1" x14ac:dyDescent="0.35">
      <c r="C80" s="93">
        <f t="shared" si="6"/>
        <v>8</v>
      </c>
      <c r="D80" s="99" t="str">
        <f>IF(AND(D$9&gt;($C80),D$9&lt;($C80+6)), D52-C52,"")</f>
        <v/>
      </c>
      <c r="E80" s="99" t="str">
        <f>IF(AND(E$9&gt;($C80),E$9&lt;($C80+6)), E52-D52,"")</f>
        <v/>
      </c>
      <c r="F80" s="99" t="str">
        <f>IF(AND(F$9&gt;($C80),F$9&lt;($C80+6)), F52-E52,"")</f>
        <v/>
      </c>
      <c r="G80" s="99" t="str">
        <f>IF(AND(G$9&gt;($C80),G$9&lt;($C80+6)), G52-F52,"")</f>
        <v/>
      </c>
      <c r="H80" s="99" t="str">
        <f>IF(AND(H$9&gt;($C80),H$9&lt;($C80+6)), H52-G52,"")</f>
        <v/>
      </c>
      <c r="I80" s="99" t="str">
        <f>IF(AND(I$9&gt;($C80),I$9&lt;($C80+6)), I52-H52,"")</f>
        <v/>
      </c>
      <c r="J80" s="99" t="str">
        <f>IF(AND(J$9&gt;($C80),J$9&lt;($C80+6)), J52-I52,"")</f>
        <v/>
      </c>
      <c r="K80" s="99" t="str">
        <f>IF(AND(K$9&gt;($C80),K$9&lt;($C80+6)), K52-J52,"")</f>
        <v/>
      </c>
      <c r="L80" s="99">
        <f>IF(AND(L$9&gt;($C80),L$9&lt;($C80+6)), L52-K52,"")</f>
        <v>-137.50782320482881</v>
      </c>
      <c r="M80" s="99">
        <f>IF(AND(M$9&gt;($C80),M$9&lt;($C80+6)), M52-L52,"")</f>
        <v>-137.50782320482881</v>
      </c>
      <c r="N80" s="99"/>
      <c r="O80" s="99"/>
      <c r="P80" s="99"/>
      <c r="Q80" s="99"/>
      <c r="R80" s="99"/>
      <c r="S80" s="99"/>
      <c r="T80" s="99"/>
      <c r="U80" s="99"/>
      <c r="V80" s="99"/>
      <c r="W80" s="99"/>
      <c r="X80" s="99"/>
      <c r="Y80" s="99"/>
      <c r="Z80" s="99"/>
      <c r="AA80" s="99"/>
    </row>
    <row r="81" spans="3:27" outlineLevel="1" x14ac:dyDescent="0.35">
      <c r="C81" s="93">
        <f t="shared" si="6"/>
        <v>9</v>
      </c>
      <c r="D81" s="99" t="str">
        <f>IF(AND(D$9&gt;($C81),D$9&lt;($C81+6)), D53-C53,"")</f>
        <v/>
      </c>
      <c r="E81" s="99" t="str">
        <f>IF(AND(E$9&gt;($C81),E$9&lt;($C81+6)), E53-D53,"")</f>
        <v/>
      </c>
      <c r="F81" s="99" t="str">
        <f>IF(AND(F$9&gt;($C81),F$9&lt;($C81+6)), F53-E53,"")</f>
        <v/>
      </c>
      <c r="G81" s="99" t="str">
        <f>IF(AND(G$9&gt;($C81),G$9&lt;($C81+6)), G53-F53,"")</f>
        <v/>
      </c>
      <c r="H81" s="99" t="str">
        <f>IF(AND(H$9&gt;($C81),H$9&lt;($C81+6)), H53-G53,"")</f>
        <v/>
      </c>
      <c r="I81" s="99" t="str">
        <f>IF(AND(I$9&gt;($C81),I$9&lt;($C81+6)), I53-H53,"")</f>
        <v/>
      </c>
      <c r="J81" s="99" t="str">
        <f>IF(AND(J$9&gt;($C81),J$9&lt;($C81+6)), J53-I53,"")</f>
        <v/>
      </c>
      <c r="K81" s="99" t="str">
        <f>IF(AND(K$9&gt;($C81),K$9&lt;($C81+6)), K53-J53,"")</f>
        <v/>
      </c>
      <c r="L81" s="99" t="str">
        <f>IF(AND(L$9&gt;($C81),L$9&lt;($C81+6)), L53-K53,"")</f>
        <v/>
      </c>
      <c r="M81" s="99">
        <f>IF(AND(M$9&gt;($C81),M$9&lt;($C81+6)), M53-L53,"")</f>
        <v>-151.25860552531174</v>
      </c>
      <c r="N81" s="99"/>
      <c r="O81" s="99"/>
      <c r="P81" s="99"/>
      <c r="Q81" s="99"/>
      <c r="R81" s="99"/>
      <c r="S81" s="99"/>
      <c r="T81" s="99"/>
      <c r="U81" s="99"/>
      <c r="V81" s="99"/>
      <c r="W81" s="99"/>
      <c r="X81" s="99"/>
      <c r="Y81" s="99"/>
      <c r="Z81" s="99"/>
      <c r="AA81" s="99"/>
    </row>
    <row r="82" spans="3:27" outlineLevel="1" x14ac:dyDescent="0.35">
      <c r="C82" s="93">
        <f t="shared" si="6"/>
        <v>10</v>
      </c>
      <c r="D82" s="99" t="str">
        <f>IF(AND(D$9&gt;($C82),D$9&lt;($C82+6)), D54-C54,"")</f>
        <v/>
      </c>
      <c r="E82" s="99" t="str">
        <f>IF(AND(E$9&gt;($C82),E$9&lt;($C82+6)), E54-D54,"")</f>
        <v/>
      </c>
      <c r="F82" s="99" t="str">
        <f>IF(AND(F$9&gt;($C82),F$9&lt;($C82+6)), F54-E54,"")</f>
        <v/>
      </c>
      <c r="G82" s="99" t="str">
        <f>IF(AND(G$9&gt;($C82),G$9&lt;($C82+6)), G54-F54,"")</f>
        <v/>
      </c>
      <c r="H82" s="99" t="str">
        <f>IF(AND(H$9&gt;($C82),H$9&lt;($C82+6)), H54-G54,"")</f>
        <v/>
      </c>
      <c r="I82" s="99" t="str">
        <f>IF(AND(I$9&gt;($C82),I$9&lt;($C82+6)), I54-H54,"")</f>
        <v/>
      </c>
      <c r="J82" s="99" t="str">
        <f>IF(AND(J$9&gt;($C82),J$9&lt;($C82+6)), J54-I54,"")</f>
        <v/>
      </c>
      <c r="K82" s="99" t="str">
        <f>IF(AND(K$9&gt;($C82),K$9&lt;($C82+6)), K54-J54,"")</f>
        <v/>
      </c>
      <c r="L82" s="99" t="str">
        <f>IF(AND(L$9&gt;($C82),L$9&lt;($C82+6)), L54-K54,"")</f>
        <v/>
      </c>
      <c r="M82" s="99" t="str">
        <f>IF(AND(M$9&gt;($C82),M$9&lt;($C82+6)), M54-L54,"")</f>
        <v/>
      </c>
      <c r="N82" s="99"/>
      <c r="O82" s="99"/>
      <c r="P82" s="99"/>
      <c r="Q82" s="99"/>
      <c r="R82" s="99"/>
      <c r="S82" s="99"/>
      <c r="T82" s="99"/>
      <c r="U82" s="99"/>
      <c r="V82" s="99"/>
      <c r="W82" s="99"/>
      <c r="X82" s="99"/>
      <c r="Y82" s="99"/>
      <c r="Z82" s="99"/>
      <c r="AA82" s="99"/>
    </row>
    <row r="83" spans="3:27" outlineLevel="1" x14ac:dyDescent="0.35">
      <c r="C83" s="93">
        <f t="shared" si="6"/>
        <v>11</v>
      </c>
      <c r="D83" s="99" t="str">
        <f>IF(AND(D$9&gt;($C83),D$9&lt;($C83+6)), D55-C55,"")</f>
        <v/>
      </c>
      <c r="E83" s="99" t="str">
        <f>IF(AND(E$9&gt;($C83),E$9&lt;($C83+6)), E55-D55,"")</f>
        <v/>
      </c>
      <c r="F83" s="99" t="str">
        <f>IF(AND(F$9&gt;($C83),F$9&lt;($C83+6)), F55-E55,"")</f>
        <v/>
      </c>
      <c r="G83" s="99" t="str">
        <f>IF(AND(G$9&gt;($C83),G$9&lt;($C83+6)), G55-F55,"")</f>
        <v/>
      </c>
      <c r="H83" s="99" t="str">
        <f>IF(AND(H$9&gt;($C83),H$9&lt;($C83+6)), H55-G55,"")</f>
        <v/>
      </c>
      <c r="I83" s="99" t="str">
        <f>IF(AND(I$9&gt;($C83),I$9&lt;($C83+6)), I55-H55,"")</f>
        <v/>
      </c>
      <c r="J83" s="99" t="str">
        <f>IF(AND(J$9&gt;($C83),J$9&lt;($C83+6)), J55-I55,"")</f>
        <v/>
      </c>
      <c r="K83" s="99" t="str">
        <f>IF(AND(K$9&gt;($C83),K$9&lt;($C83+6)), K55-J55,"")</f>
        <v/>
      </c>
      <c r="L83" s="99" t="str">
        <f>IF(AND(L$9&gt;($C83),L$9&lt;($C83+6)), L55-K55,"")</f>
        <v/>
      </c>
      <c r="M83" s="99" t="str">
        <f>IF(AND(M$9&gt;($C83),M$9&lt;($C83+6)), M55-L55,"")</f>
        <v/>
      </c>
      <c r="N83" s="99"/>
      <c r="O83" s="99"/>
      <c r="P83" s="99"/>
      <c r="Q83" s="99"/>
      <c r="R83" s="99"/>
      <c r="S83" s="99"/>
      <c r="T83" s="99"/>
      <c r="U83" s="99"/>
      <c r="V83" s="99"/>
      <c r="W83" s="99"/>
      <c r="X83" s="99"/>
      <c r="Y83" s="99"/>
      <c r="Z83" s="99"/>
      <c r="AA83" s="99"/>
    </row>
    <row r="84" spans="3:27" outlineLevel="1" x14ac:dyDescent="0.35">
      <c r="C84" s="93">
        <f t="shared" si="6"/>
        <v>12</v>
      </c>
      <c r="D84" s="99" t="str">
        <f>IF(AND(D$9&gt;($C84),D$9&lt;($C84+6)), D56-C56,"")</f>
        <v/>
      </c>
      <c r="E84" s="99" t="str">
        <f>IF(AND(E$9&gt;($C84),E$9&lt;($C84+6)), E56-D56,"")</f>
        <v/>
      </c>
      <c r="F84" s="99" t="str">
        <f>IF(AND(F$9&gt;($C84),F$9&lt;($C84+6)), F56-E56,"")</f>
        <v/>
      </c>
      <c r="G84" s="99" t="str">
        <f>IF(AND(G$9&gt;($C84),G$9&lt;($C84+6)), G56-F56,"")</f>
        <v/>
      </c>
      <c r="H84" s="99" t="str">
        <f>IF(AND(H$9&gt;($C84),H$9&lt;($C84+6)), H56-G56,"")</f>
        <v/>
      </c>
      <c r="I84" s="99" t="str">
        <f>IF(AND(I$9&gt;($C84),I$9&lt;($C84+6)), I56-H56,"")</f>
        <v/>
      </c>
      <c r="J84" s="99" t="str">
        <f>IF(AND(J$9&gt;($C84),J$9&lt;($C84+6)), J56-I56,"")</f>
        <v/>
      </c>
      <c r="K84" s="99" t="str">
        <f>IF(AND(K$9&gt;($C84),K$9&lt;($C84+6)), K56-J56,"")</f>
        <v/>
      </c>
      <c r="L84" s="99" t="str">
        <f>IF(AND(L$9&gt;($C84),L$9&lt;($C84+6)), L56-K56,"")</f>
        <v/>
      </c>
      <c r="M84" s="99" t="str">
        <f>IF(AND(M$9&gt;($C84),M$9&lt;($C84+6)), M56-L56,"")</f>
        <v/>
      </c>
      <c r="N84" s="99"/>
      <c r="O84" s="99"/>
      <c r="P84" s="99"/>
      <c r="Q84" s="99"/>
      <c r="R84" s="99"/>
      <c r="S84" s="99"/>
      <c r="T84" s="99"/>
      <c r="U84" s="99"/>
      <c r="V84" s="99"/>
      <c r="W84" s="99"/>
      <c r="X84" s="99"/>
      <c r="Y84" s="99"/>
      <c r="Z84" s="99"/>
      <c r="AA84" s="99"/>
    </row>
    <row r="85" spans="3:27" outlineLevel="1" x14ac:dyDescent="0.35">
      <c r="C85" s="93">
        <f t="shared" si="6"/>
        <v>13</v>
      </c>
      <c r="D85" s="99" t="str">
        <f>IF(AND(D$9&gt;($C85),D$9&lt;($C85+6)), D57-C57,"")</f>
        <v/>
      </c>
      <c r="E85" s="99" t="str">
        <f>IF(AND(E$9&gt;($C85),E$9&lt;($C85+6)), E57-D57,"")</f>
        <v/>
      </c>
      <c r="F85" s="99" t="str">
        <f>IF(AND(F$9&gt;($C85),F$9&lt;($C85+6)), F57-E57,"")</f>
        <v/>
      </c>
      <c r="G85" s="99" t="str">
        <f>IF(AND(G$9&gt;($C85),G$9&lt;($C85+6)), G57-F57,"")</f>
        <v/>
      </c>
      <c r="H85" s="99" t="str">
        <f>IF(AND(H$9&gt;($C85),H$9&lt;($C85+6)), H57-G57,"")</f>
        <v/>
      </c>
      <c r="I85" s="99" t="str">
        <f>IF(AND(I$9&gt;($C85),I$9&lt;($C85+6)), I57-H57,"")</f>
        <v/>
      </c>
      <c r="J85" s="99" t="str">
        <f>IF(AND(J$9&gt;($C85),J$9&lt;($C85+6)), J57-I57,"")</f>
        <v/>
      </c>
      <c r="K85" s="99" t="str">
        <f>IF(AND(K$9&gt;($C85),K$9&lt;($C85+6)), K57-J57,"")</f>
        <v/>
      </c>
      <c r="L85" s="99" t="str">
        <f>IF(AND(L$9&gt;($C85),L$9&lt;($C85+6)), L57-K57,"")</f>
        <v/>
      </c>
      <c r="M85" s="99" t="str">
        <f>IF(AND(M$9&gt;($C85),M$9&lt;($C85+6)), M57-L57,"")</f>
        <v/>
      </c>
      <c r="N85" s="99"/>
      <c r="O85" s="99"/>
      <c r="P85" s="99"/>
      <c r="Q85" s="99"/>
      <c r="R85" s="99"/>
      <c r="S85" s="99"/>
      <c r="T85" s="99"/>
      <c r="U85" s="99"/>
      <c r="V85" s="99"/>
      <c r="W85" s="99"/>
      <c r="X85" s="99"/>
      <c r="Y85" s="99"/>
      <c r="Z85" s="99"/>
      <c r="AA85" s="99"/>
    </row>
    <row r="86" spans="3:27" outlineLevel="1" x14ac:dyDescent="0.35">
      <c r="C86" s="93">
        <f t="shared" si="6"/>
        <v>14</v>
      </c>
      <c r="D86" s="99" t="str">
        <f>IF(AND(D$9&gt;($C86),D$9&lt;($C86+6)), D58-C58,"")</f>
        <v/>
      </c>
      <c r="E86" s="99" t="str">
        <f>IF(AND(E$9&gt;($C86),E$9&lt;($C86+6)), E58-D58,"")</f>
        <v/>
      </c>
      <c r="F86" s="99" t="str">
        <f>IF(AND(F$9&gt;($C86),F$9&lt;($C86+6)), F58-E58,"")</f>
        <v/>
      </c>
      <c r="G86" s="99" t="str">
        <f>IF(AND(G$9&gt;($C86),G$9&lt;($C86+6)), G58-F58,"")</f>
        <v/>
      </c>
      <c r="H86" s="99" t="str">
        <f>IF(AND(H$9&gt;($C86),H$9&lt;($C86+6)), H58-G58,"")</f>
        <v/>
      </c>
      <c r="I86" s="99" t="str">
        <f>IF(AND(I$9&gt;($C86),I$9&lt;($C86+6)), I58-H58,"")</f>
        <v/>
      </c>
      <c r="J86" s="99" t="str">
        <f>IF(AND(J$9&gt;($C86),J$9&lt;($C86+6)), J58-I58,"")</f>
        <v/>
      </c>
      <c r="K86" s="99" t="str">
        <f>IF(AND(K$9&gt;($C86),K$9&lt;($C86+6)), K58-J58,"")</f>
        <v/>
      </c>
      <c r="L86" s="99" t="str">
        <f>IF(AND(L$9&gt;($C86),L$9&lt;($C86+6)), L58-K58,"")</f>
        <v/>
      </c>
      <c r="M86" s="99" t="str">
        <f>IF(AND(M$9&gt;($C86),M$9&lt;($C86+6)), M58-L58,"")</f>
        <v/>
      </c>
      <c r="N86" s="99"/>
      <c r="O86" s="99"/>
      <c r="P86" s="99"/>
      <c r="Q86" s="99"/>
      <c r="R86" s="99"/>
      <c r="S86" s="99"/>
      <c r="T86" s="99"/>
      <c r="U86" s="99"/>
      <c r="V86" s="99"/>
      <c r="W86" s="99"/>
      <c r="X86" s="99"/>
      <c r="Y86" s="99"/>
      <c r="Z86" s="99"/>
      <c r="AA86" s="99"/>
    </row>
    <row r="87" spans="3:27" outlineLevel="1" x14ac:dyDescent="0.35">
      <c r="C87" s="93">
        <f t="shared" si="6"/>
        <v>15</v>
      </c>
      <c r="D87" s="99" t="str">
        <f>IF(AND(D$9&gt;($C87),D$9&lt;($C87+6)), D59-C59,"")</f>
        <v/>
      </c>
      <c r="E87" s="99" t="str">
        <f>IF(AND(E$9&gt;($C87),E$9&lt;($C87+6)), E59-D59,"")</f>
        <v/>
      </c>
      <c r="F87" s="99" t="str">
        <f>IF(AND(F$9&gt;($C87),F$9&lt;($C87+6)), F59-E59,"")</f>
        <v/>
      </c>
      <c r="G87" s="99" t="str">
        <f>IF(AND(G$9&gt;($C87),G$9&lt;($C87+6)), G59-F59,"")</f>
        <v/>
      </c>
      <c r="H87" s="99" t="str">
        <f>IF(AND(H$9&gt;($C87),H$9&lt;($C87+6)), H59-G59,"")</f>
        <v/>
      </c>
      <c r="I87" s="99" t="str">
        <f>IF(AND(I$9&gt;($C87),I$9&lt;($C87+6)), I59-H59,"")</f>
        <v/>
      </c>
      <c r="J87" s="99" t="str">
        <f>IF(AND(J$9&gt;($C87),J$9&lt;($C87+6)), J59-I59,"")</f>
        <v/>
      </c>
      <c r="K87" s="99" t="str">
        <f>IF(AND(K$9&gt;($C87),K$9&lt;($C87+6)), K59-J59,"")</f>
        <v/>
      </c>
      <c r="L87" s="99" t="str">
        <f>IF(AND(L$9&gt;($C87),L$9&lt;($C87+6)), L59-K59,"")</f>
        <v/>
      </c>
      <c r="M87" s="99" t="str">
        <f>IF(AND(M$9&gt;($C87),M$9&lt;($C87+6)), M59-L59,"")</f>
        <v/>
      </c>
      <c r="N87" s="99"/>
      <c r="O87" s="99"/>
      <c r="P87" s="99"/>
      <c r="Q87" s="99"/>
      <c r="R87" s="99"/>
      <c r="S87" s="99"/>
      <c r="T87" s="99"/>
      <c r="U87" s="99"/>
      <c r="V87" s="99"/>
      <c r="W87" s="99"/>
      <c r="X87" s="99"/>
      <c r="Y87" s="99"/>
      <c r="Z87" s="99"/>
      <c r="AA87" s="99"/>
    </row>
    <row r="88" spans="3:27" outlineLevel="1" x14ac:dyDescent="0.35">
      <c r="C88" s="93">
        <f t="shared" si="6"/>
        <v>16</v>
      </c>
      <c r="D88" s="99" t="str">
        <f>IF(AND(D$9&gt;($C88),D$9&lt;($C88+6)), D60-C60,"")</f>
        <v/>
      </c>
      <c r="E88" s="99" t="str">
        <f>IF(AND(E$9&gt;($C88),E$9&lt;($C88+6)), E60-D60,"")</f>
        <v/>
      </c>
      <c r="F88" s="99" t="str">
        <f>IF(AND(F$9&gt;($C88),F$9&lt;($C88+6)), F60-E60,"")</f>
        <v/>
      </c>
      <c r="G88" s="99" t="str">
        <f>IF(AND(G$9&gt;($C88),G$9&lt;($C88+6)), G60-F60,"")</f>
        <v/>
      </c>
      <c r="H88" s="99" t="str">
        <f>IF(AND(H$9&gt;($C88),H$9&lt;($C88+6)), H60-G60,"")</f>
        <v/>
      </c>
      <c r="I88" s="99" t="str">
        <f>IF(AND(I$9&gt;($C88),I$9&lt;($C88+6)), I60-H60,"")</f>
        <v/>
      </c>
      <c r="J88" s="99" t="str">
        <f>IF(AND(J$9&gt;($C88),J$9&lt;($C88+6)), J60-I60,"")</f>
        <v/>
      </c>
      <c r="K88" s="99" t="str">
        <f>IF(AND(K$9&gt;($C88),K$9&lt;($C88+6)), K60-J60,"")</f>
        <v/>
      </c>
      <c r="L88" s="99" t="str">
        <f>IF(AND(L$9&gt;($C88),L$9&lt;($C88+6)), L60-K60,"")</f>
        <v/>
      </c>
      <c r="M88" s="99" t="str">
        <f>IF(AND(M$9&gt;($C88),M$9&lt;($C88+6)), M60-L60,"")</f>
        <v/>
      </c>
      <c r="N88" s="99"/>
      <c r="O88" s="99"/>
      <c r="P88" s="99"/>
      <c r="Q88" s="99"/>
      <c r="R88" s="99"/>
      <c r="S88" s="99"/>
      <c r="T88" s="99"/>
      <c r="U88" s="99"/>
      <c r="V88" s="99"/>
      <c r="W88" s="99"/>
      <c r="X88" s="99"/>
      <c r="Y88" s="99"/>
      <c r="Z88" s="99"/>
      <c r="AA88" s="99"/>
    </row>
    <row r="89" spans="3:27" outlineLevel="1" x14ac:dyDescent="0.35">
      <c r="C89" s="93">
        <f t="shared" si="6"/>
        <v>17</v>
      </c>
      <c r="D89" s="99" t="str">
        <f>IF(AND(D$9&gt;($C89),D$9&lt;($C89+6)), D61-C61,"")</f>
        <v/>
      </c>
      <c r="E89" s="99" t="str">
        <f>IF(AND(E$9&gt;($C89),E$9&lt;($C89+6)), E61-D61,"")</f>
        <v/>
      </c>
      <c r="F89" s="99" t="str">
        <f>IF(AND(F$9&gt;($C89),F$9&lt;($C89+6)), F61-E61,"")</f>
        <v/>
      </c>
      <c r="G89" s="99" t="str">
        <f>IF(AND(G$9&gt;($C89),G$9&lt;($C89+6)), G61-F61,"")</f>
        <v/>
      </c>
      <c r="H89" s="99" t="str">
        <f>IF(AND(H$9&gt;($C89),H$9&lt;($C89+6)), H61-G61,"")</f>
        <v/>
      </c>
      <c r="I89" s="99" t="str">
        <f>IF(AND(I$9&gt;($C89),I$9&lt;($C89+6)), I61-H61,"")</f>
        <v/>
      </c>
      <c r="J89" s="99" t="str">
        <f>IF(AND(J$9&gt;($C89),J$9&lt;($C89+6)), J61-I61,"")</f>
        <v/>
      </c>
      <c r="K89" s="99" t="str">
        <f>IF(AND(K$9&gt;($C89),K$9&lt;($C89+6)), K61-J61,"")</f>
        <v/>
      </c>
      <c r="L89" s="99" t="str">
        <f>IF(AND(L$9&gt;($C89),L$9&lt;($C89+6)), L61-K61,"")</f>
        <v/>
      </c>
      <c r="M89" s="99" t="str">
        <f>IF(AND(M$9&gt;($C89),M$9&lt;($C89+6)), M61-L61,"")</f>
        <v/>
      </c>
      <c r="N89" s="99"/>
      <c r="O89" s="99"/>
      <c r="P89" s="99"/>
      <c r="Q89" s="99"/>
      <c r="R89" s="99"/>
      <c r="S89" s="99"/>
      <c r="T89" s="99"/>
      <c r="U89" s="99"/>
      <c r="V89" s="99"/>
      <c r="W89" s="99"/>
      <c r="X89" s="99"/>
      <c r="Y89" s="99"/>
      <c r="Z89" s="99"/>
      <c r="AA89" s="99"/>
    </row>
    <row r="90" spans="3:27" outlineLevel="1" x14ac:dyDescent="0.35">
      <c r="C90" s="93">
        <f t="shared" si="6"/>
        <v>18</v>
      </c>
      <c r="D90" s="99" t="str">
        <f>IF(AND(D$9&gt;($C90),D$9&lt;($C90+6)), D62-C62,"")</f>
        <v/>
      </c>
      <c r="E90" s="99" t="str">
        <f>IF(AND(E$9&gt;($C90),E$9&lt;($C90+6)), E62-D62,"")</f>
        <v/>
      </c>
      <c r="F90" s="99" t="str">
        <f>IF(AND(F$9&gt;($C90),F$9&lt;($C90+6)), F62-E62,"")</f>
        <v/>
      </c>
      <c r="G90" s="99" t="str">
        <f>IF(AND(G$9&gt;($C90),G$9&lt;($C90+6)), G62-F62,"")</f>
        <v/>
      </c>
      <c r="H90" s="99" t="str">
        <f>IF(AND(H$9&gt;($C90),H$9&lt;($C90+6)), H62-G62,"")</f>
        <v/>
      </c>
      <c r="I90" s="99" t="str">
        <f>IF(AND(I$9&gt;($C90),I$9&lt;($C90+6)), I62-H62,"")</f>
        <v/>
      </c>
      <c r="J90" s="99" t="str">
        <f>IF(AND(J$9&gt;($C90),J$9&lt;($C90+6)), J62-I62,"")</f>
        <v/>
      </c>
      <c r="K90" s="99" t="str">
        <f>IF(AND(K$9&gt;($C90),K$9&lt;($C90+6)), K62-J62,"")</f>
        <v/>
      </c>
      <c r="L90" s="99" t="str">
        <f>IF(AND(L$9&gt;($C90),L$9&lt;($C90+6)), L62-K62,"")</f>
        <v/>
      </c>
      <c r="M90" s="99" t="str">
        <f>IF(AND(M$9&gt;($C90),M$9&lt;($C90+6)), M62-L62,"")</f>
        <v/>
      </c>
      <c r="N90" s="99"/>
      <c r="O90" s="99"/>
      <c r="P90" s="99"/>
      <c r="Q90" s="99"/>
      <c r="R90" s="99"/>
      <c r="S90" s="99"/>
      <c r="T90" s="99"/>
      <c r="U90" s="99"/>
      <c r="V90" s="99"/>
      <c r="W90" s="99"/>
      <c r="X90" s="99"/>
      <c r="Y90" s="99"/>
      <c r="Z90" s="99"/>
      <c r="AA90" s="99"/>
    </row>
    <row r="91" spans="3:27" outlineLevel="1" x14ac:dyDescent="0.35">
      <c r="C91" s="93">
        <f t="shared" si="6"/>
        <v>19</v>
      </c>
      <c r="D91" s="99" t="str">
        <f>IF(AND(D$9&gt;($C91),D$9&lt;($C91+6)), D63-C63,"")</f>
        <v/>
      </c>
      <c r="E91" s="99" t="str">
        <f>IF(AND(E$9&gt;($C91),E$9&lt;($C91+6)), E63-D63,"")</f>
        <v/>
      </c>
      <c r="F91" s="99" t="str">
        <f>IF(AND(F$9&gt;($C91),F$9&lt;($C91+6)), F63-E63,"")</f>
        <v/>
      </c>
      <c r="G91" s="99" t="str">
        <f>IF(AND(G$9&gt;($C91),G$9&lt;($C91+6)), G63-F63,"")</f>
        <v/>
      </c>
      <c r="H91" s="99" t="str">
        <f>IF(AND(H$9&gt;($C91),H$9&lt;($C91+6)), H63-G63,"")</f>
        <v/>
      </c>
      <c r="I91" s="99" t="str">
        <f>IF(AND(I$9&gt;($C91),I$9&lt;($C91+6)), I63-H63,"")</f>
        <v/>
      </c>
      <c r="J91" s="99" t="str">
        <f>IF(AND(J$9&gt;($C91),J$9&lt;($C91+6)), J63-I63,"")</f>
        <v/>
      </c>
      <c r="K91" s="99" t="str">
        <f>IF(AND(K$9&gt;($C91),K$9&lt;($C91+6)), K63-J63,"")</f>
        <v/>
      </c>
      <c r="L91" s="99" t="str">
        <f>IF(AND(L$9&gt;($C91),L$9&lt;($C91+6)), L63-K63,"")</f>
        <v/>
      </c>
      <c r="M91" s="99" t="str">
        <f>IF(AND(M$9&gt;($C91),M$9&lt;($C91+6)), M63-L63,"")</f>
        <v/>
      </c>
      <c r="N91" s="99"/>
      <c r="O91" s="99"/>
      <c r="P91" s="99"/>
      <c r="Q91" s="99"/>
      <c r="R91" s="99"/>
      <c r="S91" s="99"/>
      <c r="T91" s="99"/>
      <c r="U91" s="99"/>
      <c r="V91" s="99"/>
      <c r="W91" s="99"/>
      <c r="X91" s="99"/>
      <c r="Y91" s="99"/>
      <c r="Z91" s="99"/>
      <c r="AA91" s="99"/>
    </row>
    <row r="92" spans="3:27" outlineLevel="1" x14ac:dyDescent="0.35">
      <c r="C92" s="93">
        <f t="shared" si="6"/>
        <v>20</v>
      </c>
      <c r="D92" s="99" t="str">
        <f>IF(AND(D$9&gt;($C92),D$9&lt;($C92+6)), D64-C64,"")</f>
        <v/>
      </c>
      <c r="E92" s="99" t="str">
        <f>IF(AND(E$9&gt;($C92),E$9&lt;($C92+6)), E64-D64,"")</f>
        <v/>
      </c>
      <c r="F92" s="99" t="str">
        <f>IF(AND(F$9&gt;($C92),F$9&lt;($C92+6)), F64-E64,"")</f>
        <v/>
      </c>
      <c r="G92" s="99" t="str">
        <f>IF(AND(G$9&gt;($C92),G$9&lt;($C92+6)), G64-F64,"")</f>
        <v/>
      </c>
      <c r="H92" s="99" t="str">
        <f>IF(AND(H$9&gt;($C92),H$9&lt;($C92+6)), H64-G64,"")</f>
        <v/>
      </c>
      <c r="I92" s="99" t="str">
        <f>IF(AND(I$9&gt;($C92),I$9&lt;($C92+6)), I64-H64,"")</f>
        <v/>
      </c>
      <c r="J92" s="99" t="str">
        <f>IF(AND(J$9&gt;($C92),J$9&lt;($C92+6)), J64-I64,"")</f>
        <v/>
      </c>
      <c r="K92" s="99" t="str">
        <f>IF(AND(K$9&gt;($C92),K$9&lt;($C92+6)), K64-J64,"")</f>
        <v/>
      </c>
      <c r="L92" s="99" t="str">
        <f>IF(AND(L$9&gt;($C92),L$9&lt;($C92+6)), L64-K64,"")</f>
        <v/>
      </c>
      <c r="M92" s="99" t="str">
        <f>IF(AND(M$9&gt;($C92),M$9&lt;($C92+6)), M64-L64,"")</f>
        <v/>
      </c>
      <c r="N92" s="99"/>
      <c r="O92" s="99"/>
      <c r="P92" s="99"/>
      <c r="Q92" s="99"/>
      <c r="R92" s="99"/>
      <c r="S92" s="99"/>
      <c r="T92" s="99"/>
      <c r="U92" s="99"/>
      <c r="V92" s="99"/>
      <c r="W92" s="99"/>
      <c r="X92" s="99"/>
      <c r="Y92" s="99"/>
      <c r="Z92" s="99"/>
      <c r="AA92" s="99"/>
    </row>
    <row r="93" spans="3:27" outlineLevel="1" x14ac:dyDescent="0.35">
      <c r="C93" s="93">
        <f t="shared" si="6"/>
        <v>21</v>
      </c>
      <c r="D93" s="99" t="str">
        <f>IF(AND(D$9&gt;($C93),D$9&lt;($C93+6)), D65-C65,"")</f>
        <v/>
      </c>
      <c r="E93" s="99" t="str">
        <f>IF(AND(E$9&gt;($C93),E$9&lt;($C93+6)), E65-D65,"")</f>
        <v/>
      </c>
      <c r="F93" s="99" t="str">
        <f>IF(AND(F$9&gt;($C93),F$9&lt;($C93+6)), F65-E65,"")</f>
        <v/>
      </c>
      <c r="G93" s="99" t="str">
        <f>IF(AND(G$9&gt;($C93),G$9&lt;($C93+6)), G65-F65,"")</f>
        <v/>
      </c>
      <c r="H93" s="99" t="str">
        <f>IF(AND(H$9&gt;($C93),H$9&lt;($C93+6)), H65-G65,"")</f>
        <v/>
      </c>
      <c r="I93" s="99" t="str">
        <f>IF(AND(I$9&gt;($C93),I$9&lt;($C93+6)), I65-H65,"")</f>
        <v/>
      </c>
      <c r="J93" s="99" t="str">
        <f>IF(AND(J$9&gt;($C93),J$9&lt;($C93+6)), J65-I65,"")</f>
        <v/>
      </c>
      <c r="K93" s="99" t="str">
        <f>IF(AND(K$9&gt;($C93),K$9&lt;($C93+6)), K65-J65,"")</f>
        <v/>
      </c>
      <c r="L93" s="99" t="str">
        <f>IF(AND(L$9&gt;($C93),L$9&lt;($C93+6)), L65-K65,"")</f>
        <v/>
      </c>
      <c r="M93" s="99" t="str">
        <f>IF(AND(M$9&gt;($C93),M$9&lt;($C93+6)), M65-L65,"")</f>
        <v/>
      </c>
      <c r="N93" s="99"/>
      <c r="O93" s="99"/>
      <c r="P93" s="99"/>
      <c r="Q93" s="99"/>
      <c r="R93" s="99"/>
      <c r="S93" s="99"/>
      <c r="T93" s="99"/>
      <c r="U93" s="99"/>
      <c r="V93" s="99"/>
      <c r="W93" s="99"/>
      <c r="X93" s="99"/>
      <c r="Y93" s="99"/>
      <c r="Z93" s="99"/>
      <c r="AA93" s="99"/>
    </row>
    <row r="94" spans="3:27" outlineLevel="1" x14ac:dyDescent="0.35">
      <c r="C94" s="93">
        <f t="shared" si="6"/>
        <v>22</v>
      </c>
      <c r="D94" s="99" t="str">
        <f>IF(AND(D$9&gt;($C94),D$9&lt;($C94+6)), D66-C66,"")</f>
        <v/>
      </c>
      <c r="E94" s="99" t="str">
        <f>IF(AND(E$9&gt;($C94),E$9&lt;($C94+6)), E66-D66,"")</f>
        <v/>
      </c>
      <c r="F94" s="99" t="str">
        <f>IF(AND(F$9&gt;($C94),F$9&lt;($C94+6)), F66-E66,"")</f>
        <v/>
      </c>
      <c r="G94" s="99" t="str">
        <f>IF(AND(G$9&gt;($C94),G$9&lt;($C94+6)), G66-F66,"")</f>
        <v/>
      </c>
      <c r="H94" s="99" t="str">
        <f>IF(AND(H$9&gt;($C94),H$9&lt;($C94+6)), H66-G66,"")</f>
        <v/>
      </c>
      <c r="I94" s="99" t="str">
        <f>IF(AND(I$9&gt;($C94),I$9&lt;($C94+6)), I66-H66,"")</f>
        <v/>
      </c>
      <c r="J94" s="99" t="str">
        <f>IF(AND(J$9&gt;($C94),J$9&lt;($C94+6)), J66-I66,"")</f>
        <v/>
      </c>
      <c r="K94" s="99" t="str">
        <f>IF(AND(K$9&gt;($C94),K$9&lt;($C94+6)), K66-J66,"")</f>
        <v/>
      </c>
      <c r="L94" s="99" t="str">
        <f>IF(AND(L$9&gt;($C94),L$9&lt;($C94+6)), L66-K66,"")</f>
        <v/>
      </c>
      <c r="M94" s="99" t="str">
        <f>IF(AND(M$9&gt;($C94),M$9&lt;($C94+6)), M66-L66,"")</f>
        <v/>
      </c>
      <c r="N94" s="99"/>
      <c r="O94" s="99"/>
      <c r="P94" s="99"/>
      <c r="Q94" s="99"/>
      <c r="R94" s="99"/>
      <c r="S94" s="99"/>
      <c r="T94" s="99"/>
      <c r="U94" s="99"/>
      <c r="V94" s="99"/>
      <c r="W94" s="99"/>
      <c r="X94" s="99"/>
      <c r="Y94" s="99"/>
      <c r="Z94" s="99"/>
      <c r="AA94" s="99"/>
    </row>
    <row r="95" spans="3:27" outlineLevel="1" x14ac:dyDescent="0.35">
      <c r="C95" s="93">
        <f t="shared" si="6"/>
        <v>23</v>
      </c>
      <c r="D95" s="99" t="str">
        <f>IF(AND(D$9&gt;($C95),D$9&lt;($C95+6)), D67-C67,"")</f>
        <v/>
      </c>
      <c r="E95" s="99" t="str">
        <f>IF(AND(E$9&gt;($C95),E$9&lt;($C95+6)), E67-D67,"")</f>
        <v/>
      </c>
      <c r="F95" s="99" t="str">
        <f>IF(AND(F$9&gt;($C95),F$9&lt;($C95+6)), F67-E67,"")</f>
        <v/>
      </c>
      <c r="G95" s="99" t="str">
        <f>IF(AND(G$9&gt;($C95),G$9&lt;($C95+6)), G67-F67,"")</f>
        <v/>
      </c>
      <c r="H95" s="99" t="str">
        <f>IF(AND(H$9&gt;($C95),H$9&lt;($C95+6)), H67-G67,"")</f>
        <v/>
      </c>
      <c r="I95" s="99" t="str">
        <f>IF(AND(I$9&gt;($C95),I$9&lt;($C95+6)), I67-H67,"")</f>
        <v/>
      </c>
      <c r="J95" s="99" t="str">
        <f>IF(AND(J$9&gt;($C95),J$9&lt;($C95+6)), J67-I67,"")</f>
        <v/>
      </c>
      <c r="K95" s="99" t="str">
        <f>IF(AND(K$9&gt;($C95),K$9&lt;($C95+6)), K67-J67,"")</f>
        <v/>
      </c>
      <c r="L95" s="99" t="str">
        <f>IF(AND(L$9&gt;($C95),L$9&lt;($C95+6)), L67-K67,"")</f>
        <v/>
      </c>
      <c r="M95" s="99" t="str">
        <f>IF(AND(M$9&gt;($C95),M$9&lt;($C95+6)), M67-L67,"")</f>
        <v/>
      </c>
      <c r="N95" s="99"/>
      <c r="O95" s="99"/>
      <c r="P95" s="99"/>
      <c r="Q95" s="99"/>
      <c r="R95" s="99"/>
      <c r="S95" s="99"/>
      <c r="T95" s="99"/>
      <c r="U95" s="99"/>
      <c r="V95" s="99"/>
      <c r="W95" s="99"/>
      <c r="X95" s="99"/>
      <c r="Y95" s="99"/>
      <c r="Z95" s="99"/>
      <c r="AA95" s="99"/>
    </row>
    <row r="96" spans="3:27" outlineLevel="1" x14ac:dyDescent="0.35">
      <c r="C96" s="93">
        <f t="shared" si="6"/>
        <v>24</v>
      </c>
      <c r="D96" s="99" t="str">
        <f>IF(AND(D$9&gt;($C96),D$9&lt;($C96+6)), D68-C68,"")</f>
        <v/>
      </c>
      <c r="E96" s="99" t="str">
        <f>IF(AND(E$9&gt;($C96),E$9&lt;($C96+6)), E68-D68,"")</f>
        <v/>
      </c>
      <c r="F96" s="99" t="str">
        <f>IF(AND(F$9&gt;($C96),F$9&lt;($C96+6)), F68-E68,"")</f>
        <v/>
      </c>
      <c r="G96" s="99" t="str">
        <f>IF(AND(G$9&gt;($C96),G$9&lt;($C96+6)), G68-F68,"")</f>
        <v/>
      </c>
      <c r="H96" s="99" t="str">
        <f>IF(AND(H$9&gt;($C96),H$9&lt;($C96+6)), H68-G68,"")</f>
        <v/>
      </c>
      <c r="I96" s="99" t="str">
        <f>IF(AND(I$9&gt;($C96),I$9&lt;($C96+6)), I68-H68,"")</f>
        <v/>
      </c>
      <c r="J96" s="99" t="str">
        <f>IF(AND(J$9&gt;($C96),J$9&lt;($C96+6)), J68-I68,"")</f>
        <v/>
      </c>
      <c r="K96" s="99" t="str">
        <f>IF(AND(K$9&gt;($C96),K$9&lt;($C96+6)), K68-J68,"")</f>
        <v/>
      </c>
      <c r="L96" s="99" t="str">
        <f>IF(AND(L$9&gt;($C96),L$9&lt;($C96+6)), L68-K68,"")</f>
        <v/>
      </c>
      <c r="M96" s="99" t="str">
        <f>IF(AND(M$9&gt;($C96),M$9&lt;($C96+6)), M68-L68,"")</f>
        <v/>
      </c>
      <c r="N96" s="99"/>
      <c r="O96" s="99"/>
      <c r="P96" s="99"/>
      <c r="Q96" s="99"/>
      <c r="R96" s="99"/>
      <c r="S96" s="99"/>
      <c r="T96" s="99"/>
      <c r="U96" s="99"/>
      <c r="V96" s="99"/>
      <c r="W96" s="99"/>
      <c r="X96" s="99"/>
      <c r="Y96" s="99"/>
      <c r="Z96" s="99"/>
      <c r="AA96" s="99"/>
    </row>
    <row r="97" spans="3:27" outlineLevel="1" x14ac:dyDescent="0.35"/>
    <row r="98" spans="3:27" x14ac:dyDescent="0.35">
      <c r="C98" t="s">
        <v>117</v>
      </c>
      <c r="D98" s="99">
        <f>SUM(D73:D96)</f>
        <v>0</v>
      </c>
      <c r="E98" s="99">
        <f t="shared" ref="E98:M98" si="7">SUM(E73:E96)</f>
        <v>-19.5</v>
      </c>
      <c r="F98" s="99">
        <f t="shared" si="7"/>
        <v>-49.499999999999986</v>
      </c>
      <c r="G98" s="99">
        <f t="shared" si="7"/>
        <v>-163.35000000000002</v>
      </c>
      <c r="H98" s="99">
        <f t="shared" si="7"/>
        <v>-291.91969346685937</v>
      </c>
      <c r="I98" s="99">
        <f t="shared" si="7"/>
        <v>-438.13135628040459</v>
      </c>
      <c r="J98" s="99">
        <f t="shared" si="7"/>
        <v>-667.30917381594043</v>
      </c>
      <c r="K98" s="99">
        <f t="shared" si="7"/>
        <v>-771.8597846643936</v>
      </c>
      <c r="L98" s="99">
        <f t="shared" si="7"/>
        <v>-845.09879378414723</v>
      </c>
      <c r="M98" s="99">
        <f t="shared" si="7"/>
        <v>-929.60867316256224</v>
      </c>
      <c r="N98" s="99"/>
      <c r="O98" s="99"/>
      <c r="P98" s="99"/>
      <c r="Q98" s="99"/>
      <c r="R98" s="99"/>
      <c r="S98" s="99"/>
      <c r="T98" s="99"/>
      <c r="U98" s="99"/>
      <c r="V98" s="99"/>
      <c r="W98" s="99"/>
      <c r="X98" s="99"/>
      <c r="Y98" s="99"/>
      <c r="Z98" s="99"/>
      <c r="AA98" s="99"/>
    </row>
    <row r="100" spans="3:27" x14ac:dyDescent="0.35">
      <c r="C100" t="s">
        <v>118</v>
      </c>
      <c r="D100" s="97">
        <f>D98/D13</f>
        <v>0</v>
      </c>
      <c r="E100" s="97">
        <f t="shared" ref="E100:M100" si="8">E98/E13</f>
        <v>-4.1009463722397478E-2</v>
      </c>
      <c r="F100" s="97">
        <f t="shared" si="8"/>
        <v>-5.3745928338762197E-2</v>
      </c>
      <c r="G100" s="97">
        <f t="shared" si="8"/>
        <v>-9.6266785567139815E-2</v>
      </c>
      <c r="H100" s="97">
        <f t="shared" si="8"/>
        <v>-0.11973520950064832</v>
      </c>
      <c r="I100" s="97">
        <f t="shared" si="8"/>
        <v>-0.13969507258931066</v>
      </c>
      <c r="J100" s="97">
        <f t="shared" si="8"/>
        <v>-0.17942746372737384</v>
      </c>
      <c r="K100" s="97">
        <f t="shared" si="8"/>
        <v>-0.17857529539679406</v>
      </c>
      <c r="L100" s="97">
        <f t="shared" si="8"/>
        <v>-0.16936497677484891</v>
      </c>
      <c r="M100" s="97">
        <f t="shared" si="8"/>
        <v>-0.16240416751097986</v>
      </c>
      <c r="N100" s="97"/>
      <c r="O100" s="97"/>
      <c r="P100" s="97"/>
      <c r="Q100" s="97"/>
      <c r="R100" s="97"/>
      <c r="S100" s="97"/>
      <c r="T100" s="97"/>
      <c r="U100" s="97"/>
      <c r="V100" s="97"/>
      <c r="W100" s="97"/>
      <c r="X100" s="97"/>
      <c r="Y100" s="97"/>
      <c r="Z100" s="97"/>
      <c r="AA100" s="97"/>
    </row>
    <row r="103" spans="3:27" x14ac:dyDescent="0.35">
      <c r="C103" t="s">
        <v>113</v>
      </c>
      <c r="D103" t="s">
        <v>117</v>
      </c>
      <c r="E103" t="s">
        <v>118</v>
      </c>
    </row>
    <row r="104" spans="3:27" x14ac:dyDescent="0.35">
      <c r="C104" cm="1">
        <f t="array" ref="C104:C113">TRANSPOSE(D13:M13)</f>
        <v>195</v>
      </c>
      <c r="D104" cm="1">
        <f t="array" ref="D104:D113">TRANSPOSE(D98:M98)</f>
        <v>0</v>
      </c>
      <c r="E104" cm="1">
        <f t="array" ref="E104:E113">TRANSPOSE(D100:M100)</f>
        <v>0</v>
      </c>
    </row>
    <row r="105" spans="3:27" x14ac:dyDescent="0.35">
      <c r="C105">
        <v>475.5</v>
      </c>
      <c r="D105">
        <v>-19.5</v>
      </c>
      <c r="E105">
        <v>-4.1009463722397478E-2</v>
      </c>
    </row>
    <row r="106" spans="3:27" x14ac:dyDescent="0.35">
      <c r="C106">
        <v>921</v>
      </c>
      <c r="D106">
        <v>-49.499999999999986</v>
      </c>
      <c r="E106">
        <v>-5.3745928338762197E-2</v>
      </c>
    </row>
    <row r="107" spans="3:27" x14ac:dyDescent="0.35">
      <c r="C107">
        <v>1696.8469346685938</v>
      </c>
      <c r="D107">
        <v>-163.35000000000002</v>
      </c>
      <c r="E107">
        <v>-9.6266785567139815E-2</v>
      </c>
    </row>
    <row r="108" spans="3:27" x14ac:dyDescent="0.35">
      <c r="C108">
        <v>2438.0438693371871</v>
      </c>
      <c r="D108">
        <v>-291.91969346685937</v>
      </c>
      <c r="E108">
        <v>-0.11973520950064832</v>
      </c>
    </row>
    <row r="109" spans="3:27" x14ac:dyDescent="0.35">
      <c r="C109">
        <v>3136.3408040057811</v>
      </c>
      <c r="D109">
        <v>-438.13135628040459</v>
      </c>
      <c r="E109">
        <v>-0.13969507258931066</v>
      </c>
    </row>
    <row r="110" spans="3:27" x14ac:dyDescent="0.35">
      <c r="C110">
        <v>3719.1027502337388</v>
      </c>
      <c r="D110">
        <v>-667.30917381594043</v>
      </c>
      <c r="E110">
        <v>-0.17942746372737384</v>
      </c>
    </row>
    <row r="111" spans="3:27" x14ac:dyDescent="0.35">
      <c r="C111">
        <v>4322.3211976176335</v>
      </c>
      <c r="D111">
        <v>-771.8597846643936</v>
      </c>
      <c r="E111">
        <v>-0.17857529539679406</v>
      </c>
    </row>
    <row r="112" spans="3:27" x14ac:dyDescent="0.35">
      <c r="C112">
        <v>4989.8084590866038</v>
      </c>
      <c r="D112">
        <v>-845.09879378414723</v>
      </c>
      <c r="E112">
        <v>-0.16936497677484891</v>
      </c>
    </row>
    <row r="113" spans="3:5" x14ac:dyDescent="0.35">
      <c r="C113">
        <v>5724.0444467024718</v>
      </c>
      <c r="D113">
        <v>-929.60867316256224</v>
      </c>
      <c r="E113">
        <v>-0.16240416751097986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D7521-761A-4FD3-A8E3-4135D7816B5E}">
  <dimension ref="B9:U96"/>
  <sheetViews>
    <sheetView topLeftCell="A20" zoomScale="65" zoomScaleNormal="65" workbookViewId="0">
      <selection activeCell="D43" sqref="D43"/>
    </sheetView>
  </sheetViews>
  <sheetFormatPr defaultRowHeight="14.5" x14ac:dyDescent="0.35"/>
  <cols>
    <col min="1" max="2" width="1.7265625" customWidth="1"/>
    <col min="3" max="3" width="28.54296875" bestFit="1" customWidth="1"/>
    <col min="4" max="4" width="26.6328125" bestFit="1" customWidth="1"/>
    <col min="5" max="6" width="12.08984375" bestFit="1" customWidth="1"/>
    <col min="7" max="14" width="10.81640625" customWidth="1"/>
    <col min="15" max="15" width="2.54296875" customWidth="1"/>
    <col min="16" max="16" width="32.54296875" bestFit="1" customWidth="1"/>
    <col min="17" max="17" width="29.54296875" bestFit="1" customWidth="1"/>
    <col min="18" max="18" width="12.453125" bestFit="1" customWidth="1"/>
    <col min="19" max="19" width="10" bestFit="1" customWidth="1"/>
  </cols>
  <sheetData>
    <row r="9" spans="3:5" x14ac:dyDescent="0.35">
      <c r="C9" t="s">
        <v>100</v>
      </c>
      <c r="D9" s="85">
        <v>0.85</v>
      </c>
      <c r="E9" t="s">
        <v>101</v>
      </c>
    </row>
    <row r="10" spans="3:5" x14ac:dyDescent="0.35">
      <c r="C10" t="s">
        <v>105</v>
      </c>
      <c r="D10" s="90">
        <v>2000000</v>
      </c>
    </row>
    <row r="11" spans="3:5" x14ac:dyDescent="0.35">
      <c r="C11" t="s">
        <v>107</v>
      </c>
      <c r="D11" s="90">
        <v>555555</v>
      </c>
      <c r="E11" t="s">
        <v>122</v>
      </c>
    </row>
    <row r="12" spans="3:5" x14ac:dyDescent="0.35">
      <c r="C12" t="s">
        <v>108</v>
      </c>
      <c r="D12" s="102">
        <f>D10/D11</f>
        <v>3.6000036000036002</v>
      </c>
    </row>
    <row r="13" spans="3:5" x14ac:dyDescent="0.35">
      <c r="C13" t="s">
        <v>121</v>
      </c>
      <c r="D13" s="80">
        <v>2</v>
      </c>
      <c r="E13" t="s">
        <v>120</v>
      </c>
    </row>
    <row r="14" spans="3:5" x14ac:dyDescent="0.35">
      <c r="C14" t="s">
        <v>106</v>
      </c>
      <c r="D14" s="101">
        <f>$D$12^(1/$D$13)-1</f>
        <v>0.89736754478503711</v>
      </c>
    </row>
    <row r="15" spans="3:5" x14ac:dyDescent="0.35">
      <c r="D15" s="85"/>
    </row>
    <row r="16" spans="3:5" x14ac:dyDescent="0.35">
      <c r="D16" s="85"/>
    </row>
    <row r="17" spans="3:17" x14ac:dyDescent="0.35">
      <c r="D17" s="85"/>
    </row>
    <row r="18" spans="3:17" x14ac:dyDescent="0.35">
      <c r="D18" s="85"/>
    </row>
    <row r="20" spans="3:17" x14ac:dyDescent="0.35">
      <c r="C20" s="82" t="s">
        <v>93</v>
      </c>
      <c r="D20" s="82" t="s">
        <v>103</v>
      </c>
      <c r="E20" s="82" t="s">
        <v>104</v>
      </c>
      <c r="F20" s="74"/>
    </row>
    <row r="21" spans="3:17" x14ac:dyDescent="0.35">
      <c r="C21" s="82" t="s">
        <v>94</v>
      </c>
      <c r="D21" s="83">
        <v>9</v>
      </c>
      <c r="E21" s="85">
        <v>0.55000000000000004</v>
      </c>
      <c r="F21" s="74"/>
      <c r="G21" s="73"/>
      <c r="H21" s="73"/>
      <c r="I21" s="73"/>
      <c r="J21" s="73"/>
      <c r="K21" s="73"/>
      <c r="L21" s="73"/>
      <c r="M21" s="73"/>
      <c r="N21" s="73"/>
    </row>
    <row r="22" spans="3:17" x14ac:dyDescent="0.35">
      <c r="C22" s="82" t="s">
        <v>95</v>
      </c>
      <c r="D22" s="83">
        <v>19</v>
      </c>
      <c r="E22" s="85">
        <v>0.3</v>
      </c>
      <c r="F22" s="74"/>
    </row>
    <row r="23" spans="3:17" x14ac:dyDescent="0.35">
      <c r="C23" s="82" t="s">
        <v>96</v>
      </c>
      <c r="D23" s="83">
        <v>20</v>
      </c>
      <c r="E23" s="85">
        <f>1- SUM(E21:E22)</f>
        <v>0.14999999999999991</v>
      </c>
      <c r="F23" s="74"/>
    </row>
    <row r="26" spans="3:17" x14ac:dyDescent="0.35">
      <c r="C26" s="6" t="s">
        <v>13</v>
      </c>
      <c r="D26" s="7"/>
      <c r="E26" s="8"/>
      <c r="F26" s="8"/>
      <c r="G26" s="8"/>
      <c r="H26" s="8"/>
      <c r="I26" s="8"/>
      <c r="J26" s="8"/>
      <c r="K26" s="8"/>
      <c r="L26" s="100"/>
      <c r="M26" s="100"/>
      <c r="N26" s="100"/>
    </row>
    <row r="27" spans="3:17" x14ac:dyDescent="0.35">
      <c r="C27" t="s">
        <v>41</v>
      </c>
      <c r="D27" s="9">
        <f>Sheet3!D15</f>
        <v>2021</v>
      </c>
      <c r="E27" s="9">
        <f>Sheet3!E15</f>
        <v>2022</v>
      </c>
      <c r="F27" s="9">
        <f>Sheet3!F15</f>
        <v>2023</v>
      </c>
      <c r="G27" s="70">
        <f>Sheet3!G15</f>
        <v>2024</v>
      </c>
      <c r="H27" s="70">
        <f>Sheet3!H15</f>
        <v>2025</v>
      </c>
      <c r="I27" s="70">
        <f>Sheet3!I15</f>
        <v>2026</v>
      </c>
      <c r="J27" s="70">
        <f>Sheet3!J15</f>
        <v>2027</v>
      </c>
      <c r="K27" s="70">
        <f>Sheet3!K15</f>
        <v>2028</v>
      </c>
      <c r="L27" s="70">
        <f>Sheet3!L15</f>
        <v>2029</v>
      </c>
      <c r="M27" s="70">
        <f>Sheet3!M15</f>
        <v>2030</v>
      </c>
      <c r="N27" s="70"/>
    </row>
    <row r="28" spans="3:17" x14ac:dyDescent="0.35">
      <c r="C28" s="10" t="s">
        <v>42</v>
      </c>
      <c r="D28" s="11">
        <f>Sheet3!D16</f>
        <v>44469</v>
      </c>
      <c r="E28" s="11">
        <f>Sheet3!E16</f>
        <v>44834</v>
      </c>
      <c r="F28" s="11">
        <f>Sheet3!F16</f>
        <v>45198</v>
      </c>
      <c r="G28" s="11">
        <f>Sheet3!G16</f>
        <v>45565</v>
      </c>
      <c r="H28" s="11">
        <f>Sheet3!H16</f>
        <v>45930</v>
      </c>
      <c r="I28" s="11">
        <f>Sheet3!I16</f>
        <v>46295</v>
      </c>
      <c r="J28" s="11">
        <f>Sheet3!J16</f>
        <v>46660</v>
      </c>
      <c r="K28" s="11">
        <f>Sheet3!K16</f>
        <v>47026</v>
      </c>
      <c r="L28" s="11">
        <f>Sheet3!L16</f>
        <v>47391</v>
      </c>
      <c r="M28" s="11">
        <f>Sheet3!M16</f>
        <v>47756</v>
      </c>
      <c r="N28" s="11"/>
    </row>
    <row r="29" spans="3:17" ht="15" customHeight="1" x14ac:dyDescent="0.35">
      <c r="C29" s="88" t="s">
        <v>78</v>
      </c>
      <c r="D29" s="103">
        <f>1.3*10^6 /1000</f>
        <v>1300</v>
      </c>
      <c r="E29" s="103">
        <f>2*10^6/1000</f>
        <v>2000</v>
      </c>
      <c r="F29" s="103">
        <f>3.3*10 ^6 /1000</f>
        <v>3300</v>
      </c>
      <c r="G29" s="89">
        <f>F29*(1+$D$14)</f>
        <v>6261.3128977906226</v>
      </c>
      <c r="H29" s="89">
        <f t="shared" ref="H29:K29" si="0">G29*1.1</f>
        <v>6887.4441875696857</v>
      </c>
      <c r="I29" s="89">
        <f t="shared" si="0"/>
        <v>7576.1886063266547</v>
      </c>
      <c r="J29" s="89">
        <f t="shared" si="0"/>
        <v>8333.8074669593207</v>
      </c>
      <c r="K29" s="89">
        <f>J29*1.1</f>
        <v>9167.188213655254</v>
      </c>
      <c r="L29" s="89">
        <f t="shared" ref="L29:N29" si="1">K29*1.1</f>
        <v>10083.90703502078</v>
      </c>
      <c r="M29" s="89">
        <f t="shared" si="1"/>
        <v>11092.297738522859</v>
      </c>
      <c r="N29" s="89"/>
      <c r="P29" t="s">
        <v>97</v>
      </c>
      <c r="Q29" t="s">
        <v>102</v>
      </c>
    </row>
    <row r="30" spans="3:17" ht="15" customHeight="1" x14ac:dyDescent="0.35">
      <c r="D30" s="74"/>
      <c r="E30" s="74"/>
      <c r="F30" s="74"/>
      <c r="G30" s="69"/>
      <c r="H30" s="69"/>
      <c r="I30" s="69"/>
      <c r="J30" s="69"/>
      <c r="K30" s="69"/>
      <c r="L30" s="69"/>
      <c r="M30" s="69"/>
      <c r="N30" s="69"/>
    </row>
    <row r="31" spans="3:17" ht="15" customHeight="1" x14ac:dyDescent="0.35">
      <c r="C31" t="s">
        <v>100</v>
      </c>
      <c r="D31" s="75">
        <f>D9</f>
        <v>0.85</v>
      </c>
      <c r="E31" s="75">
        <f>D31</f>
        <v>0.85</v>
      </c>
      <c r="F31" s="75">
        <f t="shared" ref="F31:J31" si="2">E31</f>
        <v>0.85</v>
      </c>
      <c r="G31" s="75">
        <f t="shared" si="2"/>
        <v>0.85</v>
      </c>
      <c r="H31" s="75">
        <f t="shared" si="2"/>
        <v>0.85</v>
      </c>
      <c r="I31" s="75">
        <f t="shared" si="2"/>
        <v>0.85</v>
      </c>
      <c r="J31" s="75">
        <f t="shared" si="2"/>
        <v>0.85</v>
      </c>
      <c r="K31" s="75">
        <f>J31</f>
        <v>0.85</v>
      </c>
      <c r="L31" s="75">
        <f t="shared" ref="L31:N31" si="3">K31</f>
        <v>0.85</v>
      </c>
      <c r="M31" s="75">
        <f t="shared" si="3"/>
        <v>0.85</v>
      </c>
      <c r="N31" s="75"/>
      <c r="Q31" t="s">
        <v>99</v>
      </c>
    </row>
    <row r="32" spans="3:17" ht="15" customHeight="1" x14ac:dyDescent="0.35">
      <c r="D32" s="75"/>
      <c r="E32" s="75"/>
      <c r="F32" s="75"/>
      <c r="G32" s="75"/>
      <c r="H32" s="75"/>
      <c r="I32" s="75"/>
      <c r="J32" s="75"/>
      <c r="K32" s="75"/>
      <c r="L32" s="75"/>
      <c r="M32" s="75"/>
      <c r="N32" s="75"/>
    </row>
    <row r="33" spans="2:17" ht="15" customHeight="1" x14ac:dyDescent="0.35">
      <c r="C33" s="81" t="s">
        <v>90</v>
      </c>
      <c r="D33" s="74">
        <f>D29*D31</f>
        <v>1105</v>
      </c>
      <c r="E33" s="74">
        <f t="shared" ref="E33:K33" si="4">E29*E31</f>
        <v>1700</v>
      </c>
      <c r="F33" s="74">
        <f t="shared" si="4"/>
        <v>2805</v>
      </c>
      <c r="G33" s="74">
        <f t="shared" si="4"/>
        <v>5322.1159631220289</v>
      </c>
      <c r="H33" s="74">
        <f t="shared" si="4"/>
        <v>5854.3275594342331</v>
      </c>
      <c r="I33" s="74">
        <f t="shared" si="4"/>
        <v>6439.7603153776563</v>
      </c>
      <c r="J33" s="74">
        <f t="shared" si="4"/>
        <v>7083.7363469154225</v>
      </c>
      <c r="K33" s="74">
        <f>K29*K31</f>
        <v>7792.1099816069654</v>
      </c>
      <c r="L33" s="74">
        <f t="shared" ref="L33:N33" si="5">L29*L31</f>
        <v>8571.3209797676627</v>
      </c>
      <c r="M33" s="74">
        <f t="shared" si="5"/>
        <v>9428.4530777444288</v>
      </c>
      <c r="N33" s="74"/>
    </row>
    <row r="34" spans="2:17" ht="15" customHeight="1" x14ac:dyDescent="0.35">
      <c r="C34" s="82" t="s">
        <v>91</v>
      </c>
      <c r="D34" s="74">
        <f>D29-D33</f>
        <v>195</v>
      </c>
      <c r="E34" s="74">
        <f t="shared" ref="E34:J34" si="6">E29-E33</f>
        <v>300</v>
      </c>
      <c r="F34" s="74">
        <f>F29-F33</f>
        <v>495</v>
      </c>
      <c r="G34" s="74">
        <f t="shared" si="6"/>
        <v>939.19693466859371</v>
      </c>
      <c r="H34" s="74">
        <f t="shared" si="6"/>
        <v>1033.1166281354526</v>
      </c>
      <c r="I34" s="74">
        <f t="shared" si="6"/>
        <v>1136.4282909489984</v>
      </c>
      <c r="J34" s="74">
        <f t="shared" si="6"/>
        <v>1250.0711200438982</v>
      </c>
      <c r="K34" s="74">
        <f>K29-K33</f>
        <v>1375.0782320482886</v>
      </c>
      <c r="L34" s="74">
        <f t="shared" ref="L34:N34" si="7">L29-L33</f>
        <v>1512.5860552531176</v>
      </c>
      <c r="M34" s="74">
        <f t="shared" si="7"/>
        <v>1663.8446607784299</v>
      </c>
      <c r="N34" s="74"/>
    </row>
    <row r="35" spans="2:17" ht="15" customHeight="1" x14ac:dyDescent="0.35">
      <c r="C35" s="82"/>
      <c r="D35" s="74"/>
      <c r="E35" s="74"/>
      <c r="F35" s="74"/>
      <c r="G35" s="74"/>
      <c r="H35" s="74"/>
      <c r="I35" s="74"/>
      <c r="J35" s="74"/>
      <c r="K35" s="74"/>
      <c r="L35" s="74"/>
      <c r="M35" s="74"/>
      <c r="N35" s="74"/>
    </row>
    <row r="36" spans="2:17" ht="15" customHeight="1" x14ac:dyDescent="0.35">
      <c r="C36" s="82" t="s">
        <v>92</v>
      </c>
      <c r="D36" s="74">
        <f>RevBuild!D34</f>
        <v>195</v>
      </c>
      <c r="E36" s="74">
        <f>(D36+E34)+D39</f>
        <v>495</v>
      </c>
      <c r="F36" s="74">
        <f>(E36+F34)+E39</f>
        <v>970.5</v>
      </c>
      <c r="G36" s="74">
        <f>(F36+G34)+F39</f>
        <v>1860.1969346685937</v>
      </c>
      <c r="H36" s="74">
        <f>(G36+H34)+G39</f>
        <v>2729.9635628040464</v>
      </c>
      <c r="I36" s="74">
        <f>(H36+I34)+H39</f>
        <v>3574.4721602861855</v>
      </c>
      <c r="J36" s="74">
        <f>(I36+J34)+I39</f>
        <v>4386.4119240496793</v>
      </c>
      <c r="K36" s="74">
        <f>(J36+K34)+J39</f>
        <v>5094.1809822820278</v>
      </c>
      <c r="L36" s="74">
        <f t="shared" ref="L36:N36" si="8">(K36+L34)+K39</f>
        <v>5834.907252870752</v>
      </c>
      <c r="M36" s="74">
        <f t="shared" si="8"/>
        <v>6653.6531198650346</v>
      </c>
      <c r="N36" s="74"/>
    </row>
    <row r="37" spans="2:17" ht="15" customHeight="1" x14ac:dyDescent="0.35">
      <c r="C37" s="82"/>
      <c r="D37" s="74"/>
      <c r="E37" s="74"/>
      <c r="F37" s="74"/>
      <c r="G37" s="74"/>
      <c r="H37" s="74"/>
      <c r="I37" s="74"/>
      <c r="J37" s="74"/>
      <c r="K37" s="74"/>
      <c r="L37" s="74"/>
      <c r="M37" s="74"/>
      <c r="N37" s="74"/>
    </row>
    <row r="38" spans="2:17" ht="15" customHeight="1" x14ac:dyDescent="0.35"/>
    <row r="39" spans="2:17" ht="15" customHeight="1" x14ac:dyDescent="0.35">
      <c r="C39" t="s">
        <v>109</v>
      </c>
      <c r="D39" s="91">
        <f>AttrtionMatrix!D98</f>
        <v>0</v>
      </c>
      <c r="E39" s="91">
        <f>AttrtionMatrix!E98</f>
        <v>-19.5</v>
      </c>
      <c r="F39" s="91">
        <f>AttrtionMatrix!F98</f>
        <v>-49.499999999999986</v>
      </c>
      <c r="G39" s="91">
        <f>AttrtionMatrix!G98</f>
        <v>-163.35000000000002</v>
      </c>
      <c r="H39" s="91">
        <f>AttrtionMatrix!H98</f>
        <v>-291.91969346685937</v>
      </c>
      <c r="I39" s="91">
        <f>AttrtionMatrix!I98</f>
        <v>-438.13135628040459</v>
      </c>
      <c r="J39" s="91">
        <f>AttrtionMatrix!J98</f>
        <v>-667.30917381594043</v>
      </c>
      <c r="K39" s="91">
        <f>AttrtionMatrix!K98</f>
        <v>-771.8597846643936</v>
      </c>
      <c r="L39" s="91">
        <f>AttrtionMatrix!L98</f>
        <v>-845.09879378414723</v>
      </c>
      <c r="M39" s="91">
        <f>AttrtionMatrix!M98</f>
        <v>-929.60867316256224</v>
      </c>
      <c r="N39" s="91"/>
      <c r="P39" t="s">
        <v>124</v>
      </c>
      <c r="Q39" t="s">
        <v>110</v>
      </c>
    </row>
    <row r="40" spans="2:17" ht="15" customHeight="1" x14ac:dyDescent="0.35">
      <c r="C40" s="82"/>
      <c r="D40" s="71"/>
      <c r="E40" s="74"/>
      <c r="F40" s="74"/>
      <c r="G40" s="74"/>
      <c r="H40" s="74"/>
      <c r="I40" s="74"/>
      <c r="J40" s="74"/>
      <c r="K40" s="74"/>
      <c r="L40" s="74"/>
      <c r="M40" s="74"/>
      <c r="N40" s="74"/>
    </row>
    <row r="41" spans="2:17" ht="15" customHeight="1" x14ac:dyDescent="0.35">
      <c r="C41" s="82" t="s">
        <v>118</v>
      </c>
      <c r="D41" s="101">
        <f>AttrtionMatrix!D100</f>
        <v>0</v>
      </c>
      <c r="E41" s="101">
        <f>AttrtionMatrix!E100</f>
        <v>-4.1009463722397478E-2</v>
      </c>
      <c r="F41" s="101">
        <f>AttrtionMatrix!F100</f>
        <v>-5.3745928338762197E-2</v>
      </c>
      <c r="G41" s="101">
        <f>AttrtionMatrix!G100</f>
        <v>-9.6266785567139815E-2</v>
      </c>
      <c r="H41" s="101">
        <f>AttrtionMatrix!H100</f>
        <v>-0.11973520950064832</v>
      </c>
      <c r="I41" s="101">
        <f>AttrtionMatrix!I100</f>
        <v>-0.13969507258931066</v>
      </c>
      <c r="J41" s="101">
        <f>AttrtionMatrix!J100</f>
        <v>-0.17942746372737384</v>
      </c>
      <c r="K41" s="101">
        <f>AttrtionMatrix!K100</f>
        <v>-0.17857529539679406</v>
      </c>
      <c r="L41" s="101">
        <f>AttrtionMatrix!L100</f>
        <v>-0.16936497677484891</v>
      </c>
      <c r="M41" s="101">
        <f>AttrtionMatrix!M100</f>
        <v>-0.16240416751097986</v>
      </c>
      <c r="N41" s="71"/>
    </row>
    <row r="42" spans="2:17" ht="15" customHeight="1" x14ac:dyDescent="0.35">
      <c r="E42" s="74"/>
      <c r="F42" s="74"/>
      <c r="G42" s="74"/>
      <c r="H42" s="74"/>
      <c r="I42" s="74"/>
      <c r="J42" s="74"/>
      <c r="K42" s="74"/>
      <c r="L42" s="74"/>
      <c r="M42" s="74"/>
      <c r="N42" s="74"/>
    </row>
    <row r="43" spans="2:17" ht="15" customHeight="1" x14ac:dyDescent="0.35">
      <c r="B43" t="s">
        <v>94</v>
      </c>
      <c r="C43" t="str">
        <f>"Revenue by Subscribers in " &amp;B43</f>
        <v>Revenue by Subscribers in Plan A</v>
      </c>
      <c r="D43" s="84">
        <f>_xlfn.LET(_xlpm.cumilative, D$36,
     _xlpm.price, INDEX($D$20:$D$23, MATCH($B43,$C$20:$C$23,0)),
     _xlpm.subplan, INDEX($E$20:$E$23, MATCH($B43,$C$20:$C$23,0)),
     _xlpm.return, (_xlpm.cumilative * _xlpm.subplan) * _xlpm.price,
     _xlpm.return
)</f>
        <v>965.25000000000011</v>
      </c>
      <c r="E43" s="84">
        <f>_xlfn.LET(_xlpm.cumilative, E$36,
     _xlpm.price, INDEX($D$20:$D$23, MATCH($B43,$C$20:$C$23,0)),
     _xlpm.subplan, INDEX($E$20:$E$23, MATCH($B43,$C$20:$C$23,0)),
     _xlpm.return, (_xlpm.cumilative * _xlpm.subplan) * _xlpm.price,
     _xlpm.return
)</f>
        <v>2450.25</v>
      </c>
      <c r="F43" s="84">
        <f>_xlfn.LET(_xlpm.cumilative, F$36,
     _xlpm.price, INDEX($D$20:$D$23, MATCH($B43,$C$20:$C$23,0)),
     _xlpm.subplan, INDEX($E$20:$E$23, MATCH($B43,$C$20:$C$23,0)),
     _xlpm.return, (_xlpm.cumilative * _xlpm.subplan) * _xlpm.price,
     _xlpm.return
)</f>
        <v>4803.9750000000004</v>
      </c>
      <c r="G43" s="84">
        <f>_xlfn.LET(_xlpm.cumilative, G$36,
     _xlpm.price, INDEX($D$20:$D$23, MATCH($B43,$C$20:$C$23,0)),
     _xlpm.subplan, INDEX($E$20:$E$23, MATCH($B43,$C$20:$C$23,0)),
     _xlpm.return, (_xlpm.cumilative * _xlpm.subplan) * _xlpm.price,
     _xlpm.return
)</f>
        <v>9207.9748266095394</v>
      </c>
      <c r="H43" s="84">
        <f>_xlfn.LET(_xlpm.cumilative, H$36,
     _xlpm.price, INDEX($D$20:$D$23, MATCH($B43,$C$20:$C$23,0)),
     _xlpm.subplan, INDEX($E$20:$E$23, MATCH($B43,$C$20:$C$23,0)),
     _xlpm.return, (_xlpm.cumilative * _xlpm.subplan) * _xlpm.price,
     _xlpm.return
)</f>
        <v>13513.319635880032</v>
      </c>
      <c r="I43" s="84">
        <f>_xlfn.LET(_xlpm.cumilative, I$36,
     _xlpm.price, INDEX($D$20:$D$23, MATCH($B43,$C$20:$C$23,0)),
     _xlpm.subplan, INDEX($E$20:$E$23, MATCH($B43,$C$20:$C$23,0)),
     _xlpm.return, (_xlpm.cumilative * _xlpm.subplan) * _xlpm.price,
     _xlpm.return
)</f>
        <v>17693.63719341662</v>
      </c>
      <c r="J43" s="84">
        <f>_xlfn.LET(_xlpm.cumilative, J$36,
     _xlpm.price, INDEX($D$20:$D$23, MATCH($B43,$C$20:$C$23,0)),
     _xlpm.subplan, INDEX($E$20:$E$23, MATCH($B43,$C$20:$C$23,0)),
     _xlpm.return, (_xlpm.cumilative * _xlpm.subplan) * _xlpm.price,
     _xlpm.return
)</f>
        <v>21712.739024045914</v>
      </c>
      <c r="K43" s="84">
        <f>_xlfn.LET(_xlpm.cumilative, K$36,
     _xlpm.price, INDEX($D$20:$D$23, MATCH($B43,$C$20:$C$23,0)),
     _xlpm.subplan, INDEX($E$20:$E$23, MATCH($B43,$C$20:$C$23,0)),
     _xlpm.return, (_xlpm.cumilative * _xlpm.subplan) * _xlpm.price,
     _xlpm.return
)</f>
        <v>25216.195862296041</v>
      </c>
      <c r="L43" s="84">
        <f t="shared" ref="L43:N45" si="9">_xlfn.LET(_xlpm.cumilative, L$36,
     _xlpm.price, INDEX($D$20:$D$23, MATCH($B43,$C$20:$C$23,0)),
     _xlpm.subplan, INDEX($E$20:$E$23, MATCH($B43,$C$20:$C$23,0)),
     _xlpm.return, (_xlpm.cumilative * _xlpm.subplan) * _xlpm.price,
     _xlpm.return
)</f>
        <v>28882.790901710221</v>
      </c>
      <c r="M43" s="84">
        <f t="shared" si="9"/>
        <v>32935.582943331923</v>
      </c>
      <c r="N43" s="84"/>
    </row>
    <row r="44" spans="2:17" ht="15" customHeight="1" x14ac:dyDescent="0.35">
      <c r="B44" t="s">
        <v>95</v>
      </c>
      <c r="C44" t="str">
        <f t="shared" ref="C44:C45" si="10">"Revenue by Subscribers in " &amp;B44</f>
        <v>Revenue by Subscribers in Plan B</v>
      </c>
      <c r="D44" s="84">
        <f>_xlfn.LET(_xlpm.cumilative, D$36,
     _xlpm.price, INDEX($D$20:$D$23, MATCH($B44,$C$20:$C$23,0)),
     _xlpm.subplan, INDEX($E$20:$E$23, MATCH($B44,$C$20:$C$23,0)),
     _xlpm.return, (_xlpm.cumilative * _xlpm.subplan) * _xlpm.price,
     _xlpm.return
)</f>
        <v>1111.5</v>
      </c>
      <c r="E44" s="84">
        <f>_xlfn.LET(_xlpm.cumilative, E$36,
     _xlpm.price, INDEX($D$20:$D$23, MATCH($B44,$C$20:$C$23,0)),
     _xlpm.subplan, INDEX($E$20:$E$23, MATCH($B44,$C$20:$C$23,0)),
     _xlpm.return, (_xlpm.cumilative * _xlpm.subplan) * _xlpm.price,
     _xlpm.return
)</f>
        <v>2821.5</v>
      </c>
      <c r="F44" s="84">
        <f>_xlfn.LET(_xlpm.cumilative, F$36,
     _xlpm.price, INDEX($D$20:$D$23, MATCH($B44,$C$20:$C$23,0)),
     _xlpm.subplan, INDEX($E$20:$E$23, MATCH($B44,$C$20:$C$23,0)),
     _xlpm.return, (_xlpm.cumilative * _xlpm.subplan) * _xlpm.price,
     _xlpm.return
)</f>
        <v>5531.8499999999995</v>
      </c>
      <c r="G44" s="84">
        <f>_xlfn.LET(_xlpm.cumilative, G$36,
     _xlpm.price, INDEX($D$20:$D$23, MATCH($B44,$C$20:$C$23,0)),
     _xlpm.subplan, INDEX($E$20:$E$23, MATCH($B44,$C$20:$C$23,0)),
     _xlpm.return, (_xlpm.cumilative * _xlpm.subplan) * _xlpm.price,
     _xlpm.return
)</f>
        <v>10603.122527610984</v>
      </c>
      <c r="H44" s="84">
        <f>_xlfn.LET(_xlpm.cumilative, H$36,
     _xlpm.price, INDEX($D$20:$D$23, MATCH($B44,$C$20:$C$23,0)),
     _xlpm.subplan, INDEX($E$20:$E$23, MATCH($B44,$C$20:$C$23,0)),
     _xlpm.return, (_xlpm.cumilative * _xlpm.subplan) * _xlpm.price,
     _xlpm.return
)</f>
        <v>15560.792307983063</v>
      </c>
      <c r="I44" s="84">
        <f>_xlfn.LET(_xlpm.cumilative, I$36,
     _xlpm.price, INDEX($D$20:$D$23, MATCH($B44,$C$20:$C$23,0)),
     _xlpm.subplan, INDEX($E$20:$E$23, MATCH($B44,$C$20:$C$23,0)),
     _xlpm.return, (_xlpm.cumilative * _xlpm.subplan) * _xlpm.price,
     _xlpm.return
)</f>
        <v>20374.491313631257</v>
      </c>
      <c r="J44" s="84">
        <f>_xlfn.LET(_xlpm.cumilative, J$36,
     _xlpm.price, INDEX($D$20:$D$23, MATCH($B44,$C$20:$C$23,0)),
     _xlpm.subplan, INDEX($E$20:$E$23, MATCH($B44,$C$20:$C$23,0)),
     _xlpm.return, (_xlpm.cumilative * _xlpm.subplan) * _xlpm.price,
     _xlpm.return
)</f>
        <v>25002.547967083174</v>
      </c>
      <c r="K44" s="84">
        <f>_xlfn.LET(_xlpm.cumilative, K$36,
     _xlpm.price, INDEX($D$20:$D$23, MATCH($B44,$C$20:$C$23,0)),
     _xlpm.subplan, INDEX($E$20:$E$23, MATCH($B44,$C$20:$C$23,0)),
     _xlpm.return, (_xlpm.cumilative * _xlpm.subplan) * _xlpm.price,
     _xlpm.return
)</f>
        <v>29036.831599007557</v>
      </c>
      <c r="L44" s="84">
        <f t="shared" si="9"/>
        <v>33258.971341363285</v>
      </c>
      <c r="M44" s="84">
        <f t="shared" si="9"/>
        <v>37925.822783230695</v>
      </c>
      <c r="N44" s="84"/>
    </row>
    <row r="45" spans="2:17" ht="15" customHeight="1" x14ac:dyDescent="0.35">
      <c r="B45" t="s">
        <v>96</v>
      </c>
      <c r="C45" t="str">
        <f t="shared" si="10"/>
        <v>Revenue by Subscribers in Plan C</v>
      </c>
      <c r="D45" s="84">
        <f>_xlfn.LET(_xlpm.cumilative, D$36,
     _xlpm.price, INDEX($D$20:$D$23, MATCH($B45,$C$20:$C$23,0)),
     _xlpm.subplan, INDEX($E$20:$E$23, MATCH($B45,$C$20:$C$23,0)),
     _xlpm.return, (_xlpm.cumilative * _xlpm.subplan) * _xlpm.price,
     _xlpm.return
)</f>
        <v>584.99999999999966</v>
      </c>
      <c r="E45" s="84">
        <f>_xlfn.LET(_xlpm.cumilative, E$36,
     _xlpm.price, INDEX($D$20:$D$23, MATCH($B45,$C$20:$C$23,0)),
     _xlpm.subplan, INDEX($E$20:$E$23, MATCH($B45,$C$20:$C$23,0)),
     _xlpm.return, (_xlpm.cumilative * _xlpm.subplan) * _xlpm.price,
     _xlpm.return
)</f>
        <v>1484.9999999999991</v>
      </c>
      <c r="F45" s="84">
        <f>_xlfn.LET(_xlpm.cumilative, F$36,
     _xlpm.price, INDEX($D$20:$D$23, MATCH($B45,$C$20:$C$23,0)),
     _xlpm.subplan, INDEX($E$20:$E$23, MATCH($B45,$C$20:$C$23,0)),
     _xlpm.return, (_xlpm.cumilative * _xlpm.subplan) * _xlpm.price,
     _xlpm.return
)</f>
        <v>2911.4999999999982</v>
      </c>
      <c r="G45" s="84">
        <f>_xlfn.LET(_xlpm.cumilative, G$36,
     _xlpm.price, INDEX($D$20:$D$23, MATCH($B45,$C$20:$C$23,0)),
     _xlpm.subplan, INDEX($E$20:$E$23, MATCH($B45,$C$20:$C$23,0)),
     _xlpm.return, (_xlpm.cumilative * _xlpm.subplan) * _xlpm.price,
     _xlpm.return
)</f>
        <v>5580.5908040057775</v>
      </c>
      <c r="H45" s="84">
        <f>_xlfn.LET(_xlpm.cumilative, H$36,
     _xlpm.price, INDEX($D$20:$D$23, MATCH($B45,$C$20:$C$23,0)),
     _xlpm.subplan, INDEX($E$20:$E$23, MATCH($B45,$C$20:$C$23,0)),
     _xlpm.return, (_xlpm.cumilative * _xlpm.subplan) * _xlpm.price,
     _xlpm.return
)</f>
        <v>8189.8906884121343</v>
      </c>
      <c r="I45" s="84">
        <f>_xlfn.LET(_xlpm.cumilative, I$36,
     _xlpm.price, INDEX($D$20:$D$23, MATCH($B45,$C$20:$C$23,0)),
     _xlpm.subplan, INDEX($E$20:$E$23, MATCH($B45,$C$20:$C$23,0)),
     _xlpm.return, (_xlpm.cumilative * _xlpm.subplan) * _xlpm.price,
     _xlpm.return
)</f>
        <v>10723.41648085855</v>
      </c>
      <c r="J45" s="84">
        <f>_xlfn.LET(_xlpm.cumilative, J$36,
     _xlpm.price, INDEX($D$20:$D$23, MATCH($B45,$C$20:$C$23,0)),
     _xlpm.subplan, INDEX($E$20:$E$23, MATCH($B45,$C$20:$C$23,0)),
     _xlpm.return, (_xlpm.cumilative * _xlpm.subplan) * _xlpm.price,
     _xlpm.return
)</f>
        <v>13159.23577214903</v>
      </c>
      <c r="K45" s="84">
        <f>_xlfn.LET(_xlpm.cumilative, K$36,
     _xlpm.price, INDEX($D$20:$D$23, MATCH($B45,$C$20:$C$23,0)),
     _xlpm.subplan, INDEX($E$20:$E$23, MATCH($B45,$C$20:$C$23,0)),
     _xlpm.return, (_xlpm.cumilative * _xlpm.subplan) * _xlpm.price,
     _xlpm.return
)</f>
        <v>15282.542946846075</v>
      </c>
      <c r="L45" s="84">
        <f t="shared" si="9"/>
        <v>17504.721758612246</v>
      </c>
      <c r="M45" s="84">
        <f t="shared" si="9"/>
        <v>19960.959359595094</v>
      </c>
      <c r="N45" s="84"/>
    </row>
    <row r="46" spans="2:17" ht="15" customHeight="1" x14ac:dyDescent="0.35">
      <c r="C46" s="82"/>
      <c r="D46" s="74"/>
      <c r="E46" s="74"/>
      <c r="F46" s="74"/>
      <c r="G46" s="74"/>
      <c r="H46" s="74"/>
      <c r="I46" s="74"/>
      <c r="J46" s="74"/>
      <c r="K46" s="74"/>
      <c r="L46" s="74"/>
      <c r="M46" s="74"/>
      <c r="N46" s="74"/>
    </row>
    <row r="47" spans="2:17" ht="15" customHeight="1" x14ac:dyDescent="0.35">
      <c r="C47" s="87" t="s">
        <v>98</v>
      </c>
      <c r="D47" s="86">
        <f>SUM(D43:D45)</f>
        <v>2661.7499999999995</v>
      </c>
      <c r="E47" s="86">
        <f t="shared" ref="E47:K47" si="11">SUM(E43:E45)</f>
        <v>6756.7499999999991</v>
      </c>
      <c r="F47" s="86">
        <f t="shared" si="11"/>
        <v>13247.324999999999</v>
      </c>
      <c r="G47" s="86">
        <f t="shared" si="11"/>
        <v>25391.688158226301</v>
      </c>
      <c r="H47" s="86">
        <f t="shared" si="11"/>
        <v>37264.002632275231</v>
      </c>
      <c r="I47" s="86">
        <f t="shared" si="11"/>
        <v>48791.544987906425</v>
      </c>
      <c r="J47" s="86">
        <f t="shared" si="11"/>
        <v>59874.522763278117</v>
      </c>
      <c r="K47" s="86">
        <f>SUM(K43:K45)</f>
        <v>69535.570408149681</v>
      </c>
      <c r="L47" s="86">
        <f t="shared" ref="L47:N47" si="12">SUM(L43:L45)</f>
        <v>79646.484001685749</v>
      </c>
      <c r="M47" s="86">
        <f t="shared" si="12"/>
        <v>90822.365086157719</v>
      </c>
      <c r="N47" s="86"/>
    </row>
    <row r="48" spans="2:17" ht="15" customHeight="1" x14ac:dyDescent="0.35">
      <c r="C48" s="19" t="s">
        <v>20</v>
      </c>
      <c r="E48" s="20">
        <f>E47/D47-1</f>
        <v>1.5384615384615388</v>
      </c>
      <c r="F48" s="20">
        <f>F47/E47-1</f>
        <v>0.96060606060606069</v>
      </c>
      <c r="G48" s="20">
        <f>G47/F47-1</f>
        <v>0.91674078791199753</v>
      </c>
      <c r="H48" s="20">
        <f>H47/G47-1</f>
        <v>0.46756696128542297</v>
      </c>
      <c r="I48" s="20">
        <f>I47/H47-1</f>
        <v>0.30934793745551414</v>
      </c>
      <c r="J48" s="20">
        <f>J47/I47-1</f>
        <v>0.22714955589372599</v>
      </c>
      <c r="K48" s="20">
        <f>K47/J47-1</f>
        <v>0.16135490019799903</v>
      </c>
      <c r="L48" s="20">
        <f t="shared" ref="L48:N48" si="13">L47/K47-1</f>
        <v>0.14540635151460624</v>
      </c>
      <c r="M48" s="20">
        <f t="shared" si="13"/>
        <v>0.14031857431692063</v>
      </c>
      <c r="N48" s="20"/>
    </row>
    <row r="49" spans="3:21" ht="15" customHeight="1" x14ac:dyDescent="0.35"/>
    <row r="50" spans="3:21" ht="15" customHeight="1" x14ac:dyDescent="0.35"/>
    <row r="51" spans="3:21" x14ac:dyDescent="0.35">
      <c r="T51" s="15"/>
    </row>
    <row r="52" spans="3:21" x14ac:dyDescent="0.35">
      <c r="P52" t="s">
        <v>21</v>
      </c>
      <c r="T52" s="15"/>
      <c r="U52" s="15"/>
    </row>
    <row r="53" spans="3:21" x14ac:dyDescent="0.35">
      <c r="P53" t="s">
        <v>21</v>
      </c>
      <c r="T53" s="15"/>
    </row>
    <row r="54" spans="3:21" x14ac:dyDescent="0.35">
      <c r="P54" t="s">
        <v>21</v>
      </c>
      <c r="T54" s="15"/>
    </row>
    <row r="55" spans="3:21" x14ac:dyDescent="0.35">
      <c r="T55" s="15"/>
    </row>
    <row r="56" spans="3:21" ht="15" customHeight="1" x14ac:dyDescent="0.35"/>
    <row r="57" spans="3:21" x14ac:dyDescent="0.35">
      <c r="P57" t="s">
        <v>18</v>
      </c>
      <c r="S57" s="14"/>
    </row>
    <row r="58" spans="3:21" x14ac:dyDescent="0.35">
      <c r="P58" t="s">
        <v>18</v>
      </c>
      <c r="R58" s="15"/>
      <c r="S58" s="15"/>
    </row>
    <row r="59" spans="3:21" x14ac:dyDescent="0.35">
      <c r="R59" s="15"/>
      <c r="S59" s="15"/>
    </row>
    <row r="60" spans="3:21" x14ac:dyDescent="0.35">
      <c r="C60" s="18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T60" s="15"/>
    </row>
    <row r="61" spans="3:21" x14ac:dyDescent="0.35">
      <c r="T61" s="15"/>
    </row>
    <row r="62" spans="3:21" x14ac:dyDescent="0.35">
      <c r="C62" s="19"/>
      <c r="E62" s="20"/>
      <c r="F62" s="21"/>
      <c r="G62" s="20"/>
      <c r="H62" s="20"/>
      <c r="I62" s="20"/>
      <c r="J62" s="20"/>
      <c r="K62" s="21"/>
      <c r="L62" s="21"/>
      <c r="M62" s="21"/>
      <c r="N62" s="21"/>
    </row>
    <row r="63" spans="3:21" x14ac:dyDescent="0.35">
      <c r="C63" s="22" t="s">
        <v>22</v>
      </c>
      <c r="D63" s="23"/>
      <c r="E63" s="23"/>
      <c r="F63" s="24"/>
      <c r="G63" s="23"/>
      <c r="H63" s="23"/>
      <c r="I63" s="23"/>
      <c r="J63" s="23"/>
      <c r="K63" s="24"/>
      <c r="L63" s="24"/>
      <c r="M63" s="24"/>
      <c r="N63" s="24"/>
      <c r="S63" s="15"/>
      <c r="T63" s="15"/>
      <c r="U63" s="15"/>
    </row>
    <row r="64" spans="3:21" x14ac:dyDescent="0.35">
      <c r="C64" s="3" t="s">
        <v>76</v>
      </c>
      <c r="D64" s="26"/>
      <c r="E64" s="26"/>
      <c r="F64" s="26"/>
      <c r="G64" s="27"/>
      <c r="H64" s="28"/>
      <c r="I64" s="28"/>
      <c r="J64" s="28"/>
      <c r="K64" s="29"/>
      <c r="L64" s="29"/>
      <c r="M64" s="29"/>
      <c r="N64" s="29"/>
      <c r="P64" t="s">
        <v>21</v>
      </c>
      <c r="S64" s="15"/>
    </row>
    <row r="65" spans="3:19" x14ac:dyDescent="0.35">
      <c r="C65" s="3" t="s">
        <v>17</v>
      </c>
      <c r="D65" s="26"/>
      <c r="E65" s="26"/>
      <c r="F65" s="26"/>
      <c r="G65" s="27"/>
      <c r="H65" s="28"/>
      <c r="I65" s="28"/>
      <c r="J65" s="28"/>
      <c r="K65" s="29"/>
      <c r="L65" s="29"/>
      <c r="M65" s="29"/>
      <c r="N65" s="29"/>
      <c r="P65" t="s">
        <v>21</v>
      </c>
    </row>
    <row r="66" spans="3:19" x14ac:dyDescent="0.35">
      <c r="C66" t="s">
        <v>77</v>
      </c>
      <c r="D66" s="26"/>
      <c r="E66" s="26"/>
      <c r="F66" s="26"/>
      <c r="G66" s="27"/>
      <c r="H66" s="28"/>
      <c r="I66" s="28"/>
      <c r="J66" s="28"/>
      <c r="K66" s="29"/>
      <c r="L66" s="29"/>
      <c r="M66" s="29"/>
      <c r="N66" s="29"/>
      <c r="P66" t="s">
        <v>21</v>
      </c>
    </row>
    <row r="67" spans="3:19" x14ac:dyDescent="0.35">
      <c r="C67" s="3"/>
      <c r="D67" s="30"/>
      <c r="E67" s="30"/>
      <c r="F67" s="30"/>
      <c r="G67" s="27"/>
      <c r="H67" s="28"/>
      <c r="I67" s="28"/>
      <c r="J67" s="28"/>
      <c r="K67" s="29"/>
      <c r="L67" s="29"/>
      <c r="M67" s="29"/>
      <c r="N67" s="29"/>
    </row>
    <row r="68" spans="3:19" x14ac:dyDescent="0.35">
      <c r="C68" s="22" t="s">
        <v>23</v>
      </c>
      <c r="D68" s="23"/>
      <c r="E68" s="23"/>
      <c r="F68" s="23"/>
      <c r="G68" s="31"/>
      <c r="H68" s="23"/>
      <c r="I68" s="23"/>
      <c r="J68" s="23"/>
      <c r="K68" s="24"/>
      <c r="L68" s="24"/>
      <c r="M68" s="24"/>
      <c r="N68" s="24"/>
      <c r="S68" s="15"/>
    </row>
    <row r="69" spans="3:19" x14ac:dyDescent="0.35">
      <c r="C69" s="3" t="s">
        <v>76</v>
      </c>
      <c r="D69" s="16"/>
      <c r="E69" s="4" t="e">
        <f>E52/D52-1</f>
        <v>#DIV/0!</v>
      </c>
      <c r="F69" s="4" t="e">
        <f>F52/E52-1</f>
        <v>#DIV/0!</v>
      </c>
      <c r="G69" s="32" t="e">
        <f>G52/F52-1</f>
        <v>#DIV/0!</v>
      </c>
      <c r="H69" s="4" t="e">
        <f>H52/G52-1</f>
        <v>#DIV/0!</v>
      </c>
      <c r="I69" s="4" t="e">
        <f>I52/H52-1</f>
        <v>#DIV/0!</v>
      </c>
      <c r="J69" s="4" t="e">
        <f>J52/I52-1</f>
        <v>#DIV/0!</v>
      </c>
      <c r="K69" s="33" t="e">
        <f>K52/J52-1</f>
        <v>#DIV/0!</v>
      </c>
      <c r="L69" s="33" t="e">
        <f t="shared" ref="L69:N69" si="14">L52/K52-1</f>
        <v>#DIV/0!</v>
      </c>
      <c r="M69" s="33" t="e">
        <f t="shared" si="14"/>
        <v>#DIV/0!</v>
      </c>
      <c r="N69" s="33"/>
    </row>
    <row r="70" spans="3:19" x14ac:dyDescent="0.35">
      <c r="C70" s="3" t="s">
        <v>17</v>
      </c>
      <c r="E70" s="4" t="e">
        <f>E53/D53-1</f>
        <v>#DIV/0!</v>
      </c>
      <c r="F70" s="4" t="e">
        <f>F53/E53-1</f>
        <v>#DIV/0!</v>
      </c>
      <c r="G70" s="32" t="e">
        <f>G53/F53-1</f>
        <v>#DIV/0!</v>
      </c>
      <c r="H70" s="4" t="e">
        <f>H53/G53-1</f>
        <v>#DIV/0!</v>
      </c>
      <c r="I70" s="4" t="e">
        <f>I53/H53-1</f>
        <v>#DIV/0!</v>
      </c>
      <c r="J70" s="4" t="e">
        <f>J53/I53-1</f>
        <v>#DIV/0!</v>
      </c>
      <c r="K70" s="33" t="e">
        <f>K53/J53-1</f>
        <v>#DIV/0!</v>
      </c>
      <c r="L70" s="33" t="e">
        <f t="shared" ref="L70:N70" si="15">L53/K53-1</f>
        <v>#DIV/0!</v>
      </c>
      <c r="M70" s="33" t="e">
        <f t="shared" si="15"/>
        <v>#DIV/0!</v>
      </c>
      <c r="N70" s="33"/>
    </row>
    <row r="71" spans="3:19" x14ac:dyDescent="0.35">
      <c r="C71" t="s">
        <v>77</v>
      </c>
      <c r="D71" s="16"/>
      <c r="E71" s="4" t="e">
        <f>E54/D54-1</f>
        <v>#DIV/0!</v>
      </c>
      <c r="F71" s="4" t="e">
        <f>F54/E54-1</f>
        <v>#DIV/0!</v>
      </c>
      <c r="G71" s="32" t="e">
        <f>G54/F54-1</f>
        <v>#DIV/0!</v>
      </c>
      <c r="H71" s="4" t="e">
        <f>H54/G54-1</f>
        <v>#DIV/0!</v>
      </c>
      <c r="I71" s="4" t="e">
        <f>I54/H54-1</f>
        <v>#DIV/0!</v>
      </c>
      <c r="J71" s="4" t="e">
        <f>J54/I54-1</f>
        <v>#DIV/0!</v>
      </c>
      <c r="K71" s="33" t="e">
        <f>K54/J54-1</f>
        <v>#DIV/0!</v>
      </c>
      <c r="L71" s="33" t="e">
        <f t="shared" ref="L71:N71" si="16">L54/K54-1</f>
        <v>#DIV/0!</v>
      </c>
      <c r="M71" s="33" t="e">
        <f t="shared" si="16"/>
        <v>#DIV/0!</v>
      </c>
      <c r="N71" s="33"/>
    </row>
    <row r="72" spans="3:19" x14ac:dyDescent="0.35">
      <c r="C72" s="19"/>
      <c r="G72" s="34"/>
      <c r="K72" s="25"/>
      <c r="L72" s="25"/>
      <c r="M72" s="25"/>
      <c r="N72" s="25"/>
      <c r="S72" s="15"/>
    </row>
    <row r="73" spans="3:19" x14ac:dyDescent="0.35">
      <c r="C73" s="18" t="s">
        <v>24</v>
      </c>
      <c r="G73" s="34"/>
      <c r="K73" s="25"/>
      <c r="L73" s="25"/>
      <c r="M73" s="25"/>
      <c r="N73" s="25"/>
    </row>
    <row r="74" spans="3:19" x14ac:dyDescent="0.35">
      <c r="C74" s="3" t="s">
        <v>76</v>
      </c>
      <c r="D74" s="35"/>
      <c r="E74" s="4" t="e">
        <f>E64/D64-1</f>
        <v>#DIV/0!</v>
      </c>
      <c r="F74" s="4" t="e">
        <f t="shared" ref="E74:K76" si="17">F64/E64-1</f>
        <v>#DIV/0!</v>
      </c>
      <c r="G74" s="32" t="e">
        <f t="shared" si="17"/>
        <v>#DIV/0!</v>
      </c>
      <c r="H74" s="4" t="e">
        <f t="shared" si="17"/>
        <v>#DIV/0!</v>
      </c>
      <c r="I74" s="4" t="e">
        <f t="shared" si="17"/>
        <v>#DIV/0!</v>
      </c>
      <c r="J74" s="4" t="e">
        <f t="shared" si="17"/>
        <v>#DIV/0!</v>
      </c>
      <c r="K74" s="33" t="e">
        <f>K64/J64-1</f>
        <v>#DIV/0!</v>
      </c>
      <c r="L74" s="33" t="e">
        <f t="shared" ref="L74:N74" si="18">L64/K64-1</f>
        <v>#DIV/0!</v>
      </c>
      <c r="M74" s="33" t="e">
        <f t="shared" si="18"/>
        <v>#DIV/0!</v>
      </c>
      <c r="N74" s="33"/>
    </row>
    <row r="75" spans="3:19" x14ac:dyDescent="0.35">
      <c r="C75" s="3" t="s">
        <v>17</v>
      </c>
      <c r="D75" s="35"/>
      <c r="E75" s="4" t="e">
        <f t="shared" si="17"/>
        <v>#DIV/0!</v>
      </c>
      <c r="F75" s="4" t="e">
        <f t="shared" si="17"/>
        <v>#DIV/0!</v>
      </c>
      <c r="G75" s="32" t="e">
        <f t="shared" si="17"/>
        <v>#DIV/0!</v>
      </c>
      <c r="H75" s="4" t="e">
        <f t="shared" si="17"/>
        <v>#DIV/0!</v>
      </c>
      <c r="I75" s="4" t="e">
        <f t="shared" si="17"/>
        <v>#DIV/0!</v>
      </c>
      <c r="J75" s="4" t="e">
        <f t="shared" si="17"/>
        <v>#DIV/0!</v>
      </c>
      <c r="K75" s="33" t="e">
        <f>K65/J65-1</f>
        <v>#DIV/0!</v>
      </c>
      <c r="L75" s="33" t="e">
        <f t="shared" ref="L75:N75" si="19">L65/K65-1</f>
        <v>#DIV/0!</v>
      </c>
      <c r="M75" s="33" t="e">
        <f t="shared" si="19"/>
        <v>#DIV/0!</v>
      </c>
      <c r="N75" s="33"/>
    </row>
    <row r="76" spans="3:19" x14ac:dyDescent="0.35">
      <c r="C76" s="3" t="s">
        <v>19</v>
      </c>
      <c r="D76" s="35"/>
      <c r="E76" s="4" t="e">
        <f t="shared" si="17"/>
        <v>#DIV/0!</v>
      </c>
      <c r="F76" s="4" t="e">
        <f t="shared" si="17"/>
        <v>#DIV/0!</v>
      </c>
      <c r="G76" s="32" t="e">
        <f t="shared" si="17"/>
        <v>#DIV/0!</v>
      </c>
      <c r="H76" s="4" t="e">
        <f t="shared" si="17"/>
        <v>#DIV/0!</v>
      </c>
      <c r="I76" s="4" t="e">
        <f t="shared" si="17"/>
        <v>#DIV/0!</v>
      </c>
      <c r="J76" s="4" t="e">
        <f t="shared" si="17"/>
        <v>#DIV/0!</v>
      </c>
      <c r="K76" s="33" t="e">
        <f>K66/J66-1</f>
        <v>#DIV/0!</v>
      </c>
      <c r="L76" s="33" t="e">
        <f t="shared" ref="L76:N76" si="20">L66/K66-1</f>
        <v>#DIV/0!</v>
      </c>
      <c r="M76" s="33" t="e">
        <f t="shared" si="20"/>
        <v>#DIV/0!</v>
      </c>
      <c r="N76" s="33"/>
    </row>
    <row r="77" spans="3:19" x14ac:dyDescent="0.35">
      <c r="G77" s="34"/>
      <c r="K77" s="25"/>
      <c r="L77" s="25"/>
      <c r="M77" s="25"/>
      <c r="N77" s="25"/>
    </row>
    <row r="78" spans="3:19" x14ac:dyDescent="0.35">
      <c r="C78" s="36" t="s">
        <v>25</v>
      </c>
      <c r="G78" s="34"/>
      <c r="K78" s="25"/>
      <c r="L78" s="25"/>
      <c r="M78" s="25"/>
      <c r="N78" s="25"/>
    </row>
    <row r="79" spans="3:19" x14ac:dyDescent="0.35">
      <c r="C79" s="3" t="s">
        <v>14</v>
      </c>
      <c r="E79" s="37" t="e">
        <f>E57/D57-1</f>
        <v>#DIV/0!</v>
      </c>
      <c r="F79" s="37" t="e">
        <f>F57/E57-1</f>
        <v>#DIV/0!</v>
      </c>
      <c r="G79" s="38" t="e">
        <f>G57/F57-1</f>
        <v>#DIV/0!</v>
      </c>
      <c r="H79" s="37" t="e">
        <f>H57/G57-1</f>
        <v>#DIV/0!</v>
      </c>
      <c r="I79" s="37" t="e">
        <f>I57/H57-1</f>
        <v>#DIV/0!</v>
      </c>
      <c r="J79" s="37" t="e">
        <f>J57/I57-1</f>
        <v>#DIV/0!</v>
      </c>
      <c r="K79" s="39" t="e">
        <f>K57/J57-1</f>
        <v>#DIV/0!</v>
      </c>
      <c r="L79" s="39" t="e">
        <f t="shared" ref="L79:N79" si="21">L57/K57-1</f>
        <v>#DIV/0!</v>
      </c>
      <c r="M79" s="39" t="e">
        <f t="shared" si="21"/>
        <v>#DIV/0!</v>
      </c>
      <c r="N79" s="39"/>
    </row>
    <row r="80" spans="3:19" x14ac:dyDescent="0.35">
      <c r="C80" s="3" t="s">
        <v>15</v>
      </c>
      <c r="E80" s="37" t="e">
        <f>E58/D58-1</f>
        <v>#DIV/0!</v>
      </c>
      <c r="F80" s="37" t="e">
        <f>F58/E58-1</f>
        <v>#DIV/0!</v>
      </c>
      <c r="G80" s="38" t="e">
        <f>G58/F58-1</f>
        <v>#DIV/0!</v>
      </c>
      <c r="H80" s="37" t="e">
        <f>H58/G58-1</f>
        <v>#DIV/0!</v>
      </c>
      <c r="I80" s="37" t="e">
        <f>I58/H58-1</f>
        <v>#DIV/0!</v>
      </c>
      <c r="J80" s="37" t="e">
        <f>J58/I58-1</f>
        <v>#DIV/0!</v>
      </c>
      <c r="K80" s="39" t="e">
        <f>K58/J58-1</f>
        <v>#DIV/0!</v>
      </c>
      <c r="L80" s="39" t="e">
        <f t="shared" ref="L80:N80" si="22">L58/K58-1</f>
        <v>#DIV/0!</v>
      </c>
      <c r="M80" s="39" t="e">
        <f t="shared" si="22"/>
        <v>#DIV/0!</v>
      </c>
      <c r="N80" s="39"/>
    </row>
    <row r="81" spans="3:16" x14ac:dyDescent="0.35">
      <c r="C81" s="3" t="s">
        <v>16</v>
      </c>
      <c r="E81" s="37" t="e">
        <f>E59/D59-1</f>
        <v>#DIV/0!</v>
      </c>
      <c r="F81" s="37" t="e">
        <f>F59/E59-1</f>
        <v>#DIV/0!</v>
      </c>
      <c r="G81" s="38" t="e">
        <f>G59/F59-1</f>
        <v>#DIV/0!</v>
      </c>
      <c r="H81" s="37" t="e">
        <f>H59/G59-1</f>
        <v>#DIV/0!</v>
      </c>
      <c r="I81" s="37" t="e">
        <f>I59/H59-1</f>
        <v>#DIV/0!</v>
      </c>
      <c r="J81" s="37" t="e">
        <f>J59/I59-1</f>
        <v>#DIV/0!</v>
      </c>
      <c r="K81" s="39" t="e">
        <f>K59/J59-1</f>
        <v>#DIV/0!</v>
      </c>
      <c r="L81" s="39" t="e">
        <f t="shared" ref="L81:N81" si="23">L59/K59-1</f>
        <v>#DIV/0!</v>
      </c>
      <c r="M81" s="39" t="e">
        <f t="shared" si="23"/>
        <v>#DIV/0!</v>
      </c>
      <c r="N81" s="39"/>
    </row>
    <row r="82" spans="3:16" x14ac:dyDescent="0.35">
      <c r="C82" s="3" t="s">
        <v>17</v>
      </c>
      <c r="D82" s="20"/>
      <c r="E82" s="37" t="e">
        <f>#REF!/#REF!-1</f>
        <v>#REF!</v>
      </c>
      <c r="F82" s="37" t="e">
        <f>#REF!/#REF!-1</f>
        <v>#REF!</v>
      </c>
      <c r="G82" s="40" t="e">
        <f>#REF!/#REF!-1</f>
        <v>#REF!</v>
      </c>
      <c r="H82" s="41" t="e">
        <f>#REF!/#REF!-1</f>
        <v>#REF!</v>
      </c>
      <c r="I82" s="42" t="e">
        <f>H82</f>
        <v>#REF!</v>
      </c>
      <c r="J82" s="42" t="e">
        <f t="shared" ref="J82:K82" si="24">I82</f>
        <v>#REF!</v>
      </c>
      <c r="K82" s="42" t="e">
        <f>J82</f>
        <v>#REF!</v>
      </c>
      <c r="L82" s="42" t="e">
        <f t="shared" ref="L82:N82" si="25">K82</f>
        <v>#REF!</v>
      </c>
      <c r="M82" s="42" t="e">
        <f t="shared" si="25"/>
        <v>#REF!</v>
      </c>
      <c r="N82" s="42"/>
      <c r="P82" t="s">
        <v>26</v>
      </c>
    </row>
    <row r="83" spans="3:16" x14ac:dyDescent="0.35">
      <c r="C83" s="3" t="s">
        <v>19</v>
      </c>
      <c r="D83" s="20"/>
      <c r="E83" s="37" t="e">
        <f>#REF!/#REF!-1</f>
        <v>#REF!</v>
      </c>
      <c r="F83" s="37" t="e">
        <f>#REF!/#REF!-1</f>
        <v>#REF!</v>
      </c>
      <c r="G83" s="43" t="e">
        <f>#REF!/#REF!-1</f>
        <v>#REF!</v>
      </c>
      <c r="H83" s="44" t="e">
        <f>#REF!/#REF!-1</f>
        <v>#REF!</v>
      </c>
      <c r="I83" s="42" t="e">
        <f t="shared" ref="I83:K83" si="26">H83</f>
        <v>#REF!</v>
      </c>
      <c r="J83" s="42" t="e">
        <f t="shared" si="26"/>
        <v>#REF!</v>
      </c>
      <c r="K83" s="42" t="e">
        <f>J83</f>
        <v>#REF!</v>
      </c>
      <c r="L83" s="42" t="e">
        <f t="shared" ref="L83:N83" si="27">K83</f>
        <v>#REF!</v>
      </c>
      <c r="M83" s="42" t="e">
        <f t="shared" si="27"/>
        <v>#REF!</v>
      </c>
      <c r="N83" s="42"/>
      <c r="P83" t="s">
        <v>26</v>
      </c>
    </row>
    <row r="85" spans="3:16" x14ac:dyDescent="0.35">
      <c r="P85" t="s">
        <v>27</v>
      </c>
    </row>
    <row r="86" spans="3:16" x14ac:dyDescent="0.35">
      <c r="P86" t="s">
        <v>28</v>
      </c>
    </row>
    <row r="89" spans="3:16" ht="15" customHeight="1" x14ac:dyDescent="0.35"/>
    <row r="91" spans="3:16" ht="15" customHeight="1" x14ac:dyDescent="0.35"/>
    <row r="92" spans="3:16" ht="15" customHeight="1" x14ac:dyDescent="0.35"/>
    <row r="94" spans="3:16" ht="15" customHeight="1" x14ac:dyDescent="0.35"/>
    <row r="95" spans="3:16" ht="15" customHeight="1" x14ac:dyDescent="0.35"/>
    <row r="96" spans="3:16" ht="15.75" customHeight="1" x14ac:dyDescent="0.35"/>
  </sheetData>
  <dataValidations count="1">
    <dataValidation type="list" allowBlank="1" showInputMessage="1" showErrorMessage="1" sqref="B43:B45" xr:uid="{CFC931B8-714F-4793-9B91-3844443A0131}">
      <formula1>$C$21:$C$23</formula1>
    </dataValidation>
  </dataValidations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D2F37-54D1-4B77-B358-D1C8159E265B}">
  <dimension ref="B1:W42"/>
  <sheetViews>
    <sheetView workbookViewId="0">
      <selection activeCell="M16" sqref="M16"/>
    </sheetView>
  </sheetViews>
  <sheetFormatPr defaultRowHeight="14.5" x14ac:dyDescent="0.35"/>
  <cols>
    <col min="2" max="2" width="1.7265625" bestFit="1" customWidth="1"/>
    <col min="3" max="3" width="31.81640625" bestFit="1" customWidth="1"/>
    <col min="4" max="4" width="9.453125" bestFit="1" customWidth="1"/>
    <col min="15" max="15" width="1.7265625" bestFit="1" customWidth="1"/>
  </cols>
  <sheetData>
    <row r="1" spans="2:22" ht="15" thickBot="1" x14ac:dyDescent="0.4"/>
    <row r="2" spans="2:22" ht="15" thickBot="1" x14ac:dyDescent="0.4">
      <c r="B2" t="s">
        <v>29</v>
      </c>
      <c r="C2" s="45" t="str">
        <f>"Financial Statement Model for "&amp;D5</f>
        <v>Financial Statement Model for Apple</v>
      </c>
      <c r="D2" s="46"/>
      <c r="E2" s="46"/>
      <c r="F2" s="46"/>
      <c r="G2" s="46"/>
      <c r="H2" s="46"/>
      <c r="I2" s="46"/>
      <c r="J2" s="46"/>
      <c r="K2" s="46"/>
      <c r="L2" s="100"/>
      <c r="M2" s="100"/>
      <c r="N2" s="100"/>
    </row>
    <row r="3" spans="2:22" x14ac:dyDescent="0.35">
      <c r="C3" s="47" t="s">
        <v>30</v>
      </c>
      <c r="D3" s="48"/>
      <c r="E3" s="48"/>
      <c r="F3" s="48"/>
      <c r="G3" s="48"/>
      <c r="H3" s="48"/>
    </row>
    <row r="5" spans="2:22" x14ac:dyDescent="0.35">
      <c r="C5" s="12" t="s">
        <v>31</v>
      </c>
      <c r="D5" s="49" t="s">
        <v>32</v>
      </c>
    </row>
    <row r="6" spans="2:22" x14ac:dyDescent="0.35">
      <c r="C6" s="12" t="s">
        <v>33</v>
      </c>
      <c r="D6" s="49" t="s">
        <v>34</v>
      </c>
    </row>
    <row r="7" spans="2:22" x14ac:dyDescent="0.35">
      <c r="C7" t="s">
        <v>35</v>
      </c>
      <c r="D7" s="50">
        <v>1</v>
      </c>
    </row>
    <row r="8" spans="2:22" x14ac:dyDescent="0.35">
      <c r="C8" t="s">
        <v>36</v>
      </c>
      <c r="D8" s="51">
        <v>43500</v>
      </c>
    </row>
    <row r="9" spans="2:22" x14ac:dyDescent="0.35">
      <c r="C9" s="12" t="s">
        <v>37</v>
      </c>
      <c r="D9" s="52">
        <v>45198</v>
      </c>
    </row>
    <row r="10" spans="2:22" x14ac:dyDescent="0.35">
      <c r="C10" t="s">
        <v>38</v>
      </c>
      <c r="D10" s="50" t="s">
        <v>39</v>
      </c>
    </row>
    <row r="13" spans="2:22" x14ac:dyDescent="0.35">
      <c r="C13" s="18"/>
      <c r="D13" s="18"/>
    </row>
    <row r="14" spans="2:22" x14ac:dyDescent="0.35">
      <c r="B14" t="s">
        <v>29</v>
      </c>
      <c r="C14" s="6" t="s">
        <v>40</v>
      </c>
      <c r="D14" s="8"/>
      <c r="E14" s="8"/>
      <c r="F14" s="8"/>
      <c r="G14" s="8"/>
      <c r="H14" s="8"/>
      <c r="I14" s="8"/>
      <c r="J14" s="8"/>
      <c r="K14" s="8"/>
      <c r="L14" s="100"/>
      <c r="M14" s="100"/>
      <c r="N14" s="100"/>
      <c r="O14" t="s">
        <v>29</v>
      </c>
    </row>
    <row r="15" spans="2:22" x14ac:dyDescent="0.35">
      <c r="C15" t="s">
        <v>41</v>
      </c>
      <c r="D15" s="53">
        <f>E15-1</f>
        <v>2021</v>
      </c>
      <c r="E15" s="53">
        <f>F15-1</f>
        <v>2022</v>
      </c>
      <c r="F15" s="53">
        <f>YEAR(D9)</f>
        <v>2023</v>
      </c>
      <c r="G15" s="54">
        <f>F15+1</f>
        <v>2024</v>
      </c>
      <c r="H15" s="54">
        <f>G15+1</f>
        <v>2025</v>
      </c>
      <c r="I15" s="54">
        <f>H15+1</f>
        <v>2026</v>
      </c>
      <c r="J15" s="54">
        <f>I15+1</f>
        <v>2027</v>
      </c>
      <c r="K15" s="54">
        <f>J15+1</f>
        <v>2028</v>
      </c>
      <c r="L15" s="54">
        <f t="shared" ref="L15:N15" si="0">K15+1</f>
        <v>2029</v>
      </c>
      <c r="M15" s="54">
        <f t="shared" si="0"/>
        <v>2030</v>
      </c>
      <c r="N15" s="54"/>
    </row>
    <row r="16" spans="2:22" x14ac:dyDescent="0.35">
      <c r="C16" s="55" t="s">
        <v>42</v>
      </c>
      <c r="D16" s="56">
        <f>EOMONTH(E16,-12)</f>
        <v>44469</v>
      </c>
      <c r="E16" s="56">
        <f>EOMONTH(F16,-12)</f>
        <v>44834</v>
      </c>
      <c r="F16" s="56">
        <f>D9</f>
        <v>45198</v>
      </c>
      <c r="G16" s="56">
        <f>EOMONTH(F16,12)</f>
        <v>45565</v>
      </c>
      <c r="H16" s="56">
        <f>EOMONTH(G16,12)</f>
        <v>45930</v>
      </c>
      <c r="I16" s="56">
        <f>EOMONTH(H16,12)</f>
        <v>46295</v>
      </c>
      <c r="J16" s="56">
        <f>EOMONTH(I16,12)</f>
        <v>46660</v>
      </c>
      <c r="K16" s="56">
        <f>EOMONTH(J16,12)</f>
        <v>47026</v>
      </c>
      <c r="L16" s="56">
        <f t="shared" ref="L16:N16" si="1">EOMONTH(K16,12)</f>
        <v>47391</v>
      </c>
      <c r="M16" s="56">
        <f t="shared" si="1"/>
        <v>47756</v>
      </c>
      <c r="N16" s="56"/>
      <c r="P16" s="57" t="s">
        <v>43</v>
      </c>
      <c r="Q16" s="58"/>
      <c r="R16" s="58"/>
      <c r="S16" s="58"/>
      <c r="T16" s="58"/>
      <c r="U16" s="58"/>
      <c r="V16" s="58"/>
    </row>
    <row r="17" spans="3:17" x14ac:dyDescent="0.35">
      <c r="C17" s="10"/>
      <c r="D17" s="59"/>
      <c r="E17" s="60"/>
      <c r="F17" s="60"/>
      <c r="G17" s="61"/>
      <c r="H17" s="62"/>
      <c r="I17" s="62"/>
      <c r="J17" s="60"/>
      <c r="K17" s="60"/>
      <c r="L17" s="60"/>
      <c r="M17" s="60"/>
      <c r="N17" s="60"/>
    </row>
    <row r="18" spans="3:17" x14ac:dyDescent="0.35">
      <c r="C18" t="s">
        <v>44</v>
      </c>
      <c r="D18" s="13">
        <v>215639</v>
      </c>
      <c r="E18" s="13">
        <v>229234</v>
      </c>
      <c r="F18" s="13">
        <v>265595</v>
      </c>
      <c r="G18" s="17">
        <f>F18*(1+G37)</f>
        <v>265595</v>
      </c>
      <c r="H18" s="17">
        <f>G18*(1+H37)</f>
        <v>265595</v>
      </c>
      <c r="I18" s="17">
        <f>H18*(1+I37)</f>
        <v>265595</v>
      </c>
      <c r="J18" s="17">
        <f>I18*(1+J37)</f>
        <v>265595</v>
      </c>
      <c r="K18" s="17">
        <f>J18*(1+K37)</f>
        <v>265595</v>
      </c>
      <c r="L18" s="17">
        <f t="shared" ref="L18:N18" si="2">K18*(1+L37)</f>
        <v>265595</v>
      </c>
      <c r="M18" s="17">
        <f t="shared" si="2"/>
        <v>265595</v>
      </c>
      <c r="N18" s="17"/>
      <c r="P18" t="s">
        <v>12</v>
      </c>
    </row>
    <row r="19" spans="3:17" x14ac:dyDescent="0.35">
      <c r="C19" t="s">
        <v>45</v>
      </c>
      <c r="D19" s="13">
        <v>-131376</v>
      </c>
      <c r="E19" s="13">
        <v>-141048</v>
      </c>
      <c r="F19" s="13">
        <v>-163756</v>
      </c>
      <c r="G19" s="17">
        <f>G20-G18</f>
        <v>-265595</v>
      </c>
      <c r="H19" s="17">
        <f>H20-H18</f>
        <v>-265595</v>
      </c>
      <c r="I19" s="17">
        <f>I20-I18</f>
        <v>-265595</v>
      </c>
      <c r="J19" s="17">
        <f>J20-J18</f>
        <v>-265595</v>
      </c>
      <c r="K19" s="17">
        <f>K20-K18</f>
        <v>-265595</v>
      </c>
      <c r="L19" s="17">
        <f t="shared" ref="L19:N19" si="3">L20-L18</f>
        <v>-265595</v>
      </c>
      <c r="M19" s="17">
        <f t="shared" si="3"/>
        <v>-265595</v>
      </c>
      <c r="N19" s="17"/>
      <c r="P19" t="s">
        <v>46</v>
      </c>
    </row>
    <row r="20" spans="3:17" x14ac:dyDescent="0.35">
      <c r="C20" s="18" t="s">
        <v>5</v>
      </c>
      <c r="D20" s="63">
        <f>SUM(D18:D19)</f>
        <v>84263</v>
      </c>
      <c r="E20" s="63">
        <f>SUM(E18:E19)</f>
        <v>88186</v>
      </c>
      <c r="F20" s="63">
        <f>SUM(F18:F19)</f>
        <v>101839</v>
      </c>
      <c r="G20" s="63">
        <f>G18*G38</f>
        <v>0</v>
      </c>
      <c r="H20" s="63">
        <f>H18*H38</f>
        <v>0</v>
      </c>
      <c r="I20" s="63">
        <f>I18*I38</f>
        <v>0</v>
      </c>
      <c r="J20" s="63">
        <f>J18*J38</f>
        <v>0</v>
      </c>
      <c r="K20" s="63">
        <f>K18*K38</f>
        <v>0</v>
      </c>
      <c r="L20" s="63">
        <f t="shared" ref="L20:N20" si="4">L18*L38</f>
        <v>0</v>
      </c>
      <c r="M20" s="63">
        <f t="shared" si="4"/>
        <v>0</v>
      </c>
      <c r="N20" s="63"/>
      <c r="P20" s="64" t="s">
        <v>47</v>
      </c>
    </row>
    <row r="21" spans="3:17" x14ac:dyDescent="0.35">
      <c r="C21" t="s">
        <v>48</v>
      </c>
      <c r="D21" s="13">
        <v>-10045</v>
      </c>
      <c r="E21" s="13">
        <v>-11581</v>
      </c>
      <c r="F21" s="13">
        <v>-14236</v>
      </c>
      <c r="G21" s="17">
        <f>-G39*G18</f>
        <v>0</v>
      </c>
      <c r="H21" s="17">
        <f>-H39*H18</f>
        <v>0</v>
      </c>
      <c r="I21" s="17">
        <f>-I39*I18</f>
        <v>0</v>
      </c>
      <c r="J21" s="17">
        <f>-J39*J18</f>
        <v>0</v>
      </c>
      <c r="K21" s="17">
        <f>-K39*K18</f>
        <v>0</v>
      </c>
      <c r="L21" s="17">
        <f t="shared" ref="L21:N21" si="5">-L39*L18</f>
        <v>0</v>
      </c>
      <c r="M21" s="17">
        <f t="shared" si="5"/>
        <v>0</v>
      </c>
      <c r="N21" s="17"/>
      <c r="P21" s="64" t="s">
        <v>49</v>
      </c>
    </row>
    <row r="22" spans="3:17" x14ac:dyDescent="0.35">
      <c r="C22" t="s">
        <v>50</v>
      </c>
      <c r="D22" s="13">
        <v>-14194</v>
      </c>
      <c r="E22" s="13">
        <v>-15261</v>
      </c>
      <c r="F22" s="13">
        <v>-16705</v>
      </c>
      <c r="G22" s="17">
        <f>-G18*G40</f>
        <v>0</v>
      </c>
      <c r="H22" s="17">
        <f>-H18*H40</f>
        <v>0</v>
      </c>
      <c r="I22" s="17">
        <f>-I18*I40</f>
        <v>0</v>
      </c>
      <c r="J22" s="17">
        <f>-J18*J40</f>
        <v>0</v>
      </c>
      <c r="K22" s="17">
        <f>-K18*K40</f>
        <v>0</v>
      </c>
      <c r="L22" s="17">
        <f t="shared" ref="L22:N22" si="6">-L18*L40</f>
        <v>0</v>
      </c>
      <c r="M22" s="17">
        <f t="shared" si="6"/>
        <v>0</v>
      </c>
      <c r="N22" s="17"/>
      <c r="P22" s="64" t="s">
        <v>51</v>
      </c>
    </row>
    <row r="23" spans="3:17" x14ac:dyDescent="0.35">
      <c r="C23" s="18" t="s">
        <v>52</v>
      </c>
      <c r="D23" s="63">
        <f t="shared" ref="D23:K23" si="7">D20+D21+D22</f>
        <v>60024</v>
      </c>
      <c r="E23" s="63">
        <f t="shared" si="7"/>
        <v>61344</v>
      </c>
      <c r="F23" s="63">
        <f t="shared" si="7"/>
        <v>70898</v>
      </c>
      <c r="G23" s="63">
        <f t="shared" si="7"/>
        <v>0</v>
      </c>
      <c r="H23" s="63">
        <f t="shared" si="7"/>
        <v>0</v>
      </c>
      <c r="I23" s="63">
        <f t="shared" si="7"/>
        <v>0</v>
      </c>
      <c r="J23" s="63">
        <f t="shared" si="7"/>
        <v>0</v>
      </c>
      <c r="K23" s="63">
        <f t="shared" si="7"/>
        <v>0</v>
      </c>
      <c r="L23" s="63">
        <f t="shared" ref="L23:N23" si="8">L20+L21+L22</f>
        <v>0</v>
      </c>
      <c r="M23" s="63">
        <f t="shared" si="8"/>
        <v>0</v>
      </c>
      <c r="N23" s="63"/>
      <c r="P23" s="18" t="s">
        <v>53</v>
      </c>
    </row>
    <row r="24" spans="3:17" x14ac:dyDescent="0.35">
      <c r="C24" t="s">
        <v>54</v>
      </c>
      <c r="D24" s="13">
        <v>3999</v>
      </c>
      <c r="E24" s="13">
        <v>5201</v>
      </c>
      <c r="F24" s="13">
        <v>5686</v>
      </c>
      <c r="G24" s="65">
        <f>G157</f>
        <v>0</v>
      </c>
      <c r="H24" s="65">
        <f>H157</f>
        <v>0</v>
      </c>
      <c r="I24" s="65">
        <f>I157</f>
        <v>0</v>
      </c>
      <c r="J24" s="65">
        <f>J157</f>
        <v>0</v>
      </c>
      <c r="K24" s="65">
        <f>K157</f>
        <v>0</v>
      </c>
      <c r="L24" s="65">
        <f t="shared" ref="L24:N24" si="9">L157</f>
        <v>0</v>
      </c>
      <c r="M24" s="65">
        <f t="shared" si="9"/>
        <v>0</v>
      </c>
      <c r="N24" s="65"/>
      <c r="P24" t="s">
        <v>55</v>
      </c>
    </row>
    <row r="25" spans="3:17" x14ac:dyDescent="0.35">
      <c r="C25" t="s">
        <v>56</v>
      </c>
      <c r="D25" s="13">
        <v>-1456</v>
      </c>
      <c r="E25" s="13">
        <v>-2323</v>
      </c>
      <c r="F25" s="13">
        <v>-3240</v>
      </c>
      <c r="G25" s="65">
        <f>-G143</f>
        <v>0</v>
      </c>
      <c r="H25" s="65">
        <f>-H143</f>
        <v>0</v>
      </c>
      <c r="I25" s="65">
        <f>-I143</f>
        <v>0</v>
      </c>
      <c r="J25" s="65">
        <f>-J143</f>
        <v>0</v>
      </c>
      <c r="K25" s="65">
        <f>-K143</f>
        <v>0</v>
      </c>
      <c r="L25" s="65">
        <f t="shared" ref="L25:N25" si="10">-L143</f>
        <v>0</v>
      </c>
      <c r="M25" s="65">
        <f t="shared" si="10"/>
        <v>0</v>
      </c>
      <c r="N25" s="65"/>
      <c r="P25" t="s">
        <v>57</v>
      </c>
    </row>
    <row r="26" spans="3:17" x14ac:dyDescent="0.35">
      <c r="C26" t="s">
        <v>58</v>
      </c>
      <c r="D26" s="13">
        <v>-1195</v>
      </c>
      <c r="E26" s="13">
        <v>-133</v>
      </c>
      <c r="F26" s="13">
        <v>-441</v>
      </c>
      <c r="G26" s="65">
        <f>F26</f>
        <v>-441</v>
      </c>
      <c r="H26" s="65">
        <f>G26</f>
        <v>-441</v>
      </c>
      <c r="I26" s="65">
        <f>H26</f>
        <v>-441</v>
      </c>
      <c r="J26" s="65">
        <f>I26</f>
        <v>-441</v>
      </c>
      <c r="K26" s="65">
        <f>J26</f>
        <v>-441</v>
      </c>
      <c r="L26" s="65">
        <f t="shared" ref="L26:N26" si="11">K26</f>
        <v>-441</v>
      </c>
      <c r="M26" s="65">
        <f t="shared" si="11"/>
        <v>-441</v>
      </c>
      <c r="N26" s="65"/>
      <c r="P26" t="s">
        <v>59</v>
      </c>
    </row>
    <row r="27" spans="3:17" x14ac:dyDescent="0.35">
      <c r="C27" s="18" t="s">
        <v>60</v>
      </c>
      <c r="D27" s="63">
        <f t="shared" ref="D27:K27" si="12">SUM(D23:D26)</f>
        <v>61372</v>
      </c>
      <c r="E27" s="63">
        <f t="shared" si="12"/>
        <v>64089</v>
      </c>
      <c r="F27" s="63">
        <f t="shared" si="12"/>
        <v>72903</v>
      </c>
      <c r="G27" s="63">
        <f>SUM(G23:G26)</f>
        <v>-441</v>
      </c>
      <c r="H27" s="63">
        <f t="shared" si="12"/>
        <v>-441</v>
      </c>
      <c r="I27" s="63">
        <f t="shared" si="12"/>
        <v>-441</v>
      </c>
      <c r="J27" s="63">
        <f t="shared" si="12"/>
        <v>-441</v>
      </c>
      <c r="K27" s="63">
        <f t="shared" si="12"/>
        <v>-441</v>
      </c>
      <c r="L27" s="63">
        <f t="shared" ref="L27:N27" si="13">SUM(L23:L26)</f>
        <v>-441</v>
      </c>
      <c r="M27" s="63">
        <f t="shared" si="13"/>
        <v>-441</v>
      </c>
      <c r="N27" s="63"/>
      <c r="P27" s="18" t="s">
        <v>61</v>
      </c>
      <c r="Q27" s="18"/>
    </row>
    <row r="28" spans="3:17" x14ac:dyDescent="0.35">
      <c r="C28" t="s">
        <v>62</v>
      </c>
      <c r="D28" s="13">
        <v>-15685</v>
      </c>
      <c r="E28" s="13">
        <v>-15738</v>
      </c>
      <c r="F28" s="13">
        <v>-13372</v>
      </c>
      <c r="G28" s="17">
        <f>-G41*G27</f>
        <v>73.647000000000006</v>
      </c>
      <c r="H28" s="17">
        <f>-H41*H27</f>
        <v>74.97</v>
      </c>
      <c r="I28" s="17">
        <f>-I41*I27</f>
        <v>74.529000000000011</v>
      </c>
      <c r="J28" s="17">
        <f>-J41*J27</f>
        <v>74.529000000000011</v>
      </c>
      <c r="K28" s="17">
        <f>-K41*K27</f>
        <v>74.529000000000011</v>
      </c>
      <c r="L28" s="17">
        <f t="shared" ref="L28:N28" si="14">-L41*L27</f>
        <v>74.529000000000011</v>
      </c>
      <c r="M28" s="17">
        <f t="shared" si="14"/>
        <v>74.529000000000011</v>
      </c>
      <c r="N28" s="17"/>
      <c r="P28" t="s">
        <v>63</v>
      </c>
    </row>
    <row r="29" spans="3:17" x14ac:dyDescent="0.35">
      <c r="C29" s="18" t="s">
        <v>64</v>
      </c>
      <c r="D29" s="63">
        <f t="shared" ref="D29:K29" si="15">SUM(D27:D28)</f>
        <v>45687</v>
      </c>
      <c r="E29" s="63">
        <f t="shared" si="15"/>
        <v>48351</v>
      </c>
      <c r="F29" s="63">
        <f t="shared" si="15"/>
        <v>59531</v>
      </c>
      <c r="G29" s="63">
        <f>SUM(G27:G28)</f>
        <v>-367.35300000000001</v>
      </c>
      <c r="H29" s="63">
        <f t="shared" si="15"/>
        <v>-366.03</v>
      </c>
      <c r="I29" s="63">
        <f t="shared" si="15"/>
        <v>-366.471</v>
      </c>
      <c r="J29" s="63">
        <f t="shared" si="15"/>
        <v>-366.471</v>
      </c>
      <c r="K29" s="63">
        <f t="shared" si="15"/>
        <v>-366.471</v>
      </c>
      <c r="L29" s="63">
        <f t="shared" ref="L29:N29" si="16">SUM(L27:L28)</f>
        <v>-366.471</v>
      </c>
      <c r="M29" s="63">
        <f t="shared" si="16"/>
        <v>-366.471</v>
      </c>
      <c r="N29" s="63"/>
      <c r="P29" s="18" t="s">
        <v>65</v>
      </c>
    </row>
    <row r="30" spans="3:17" x14ac:dyDescent="0.35">
      <c r="C30" s="3"/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</row>
    <row r="31" spans="3:17" x14ac:dyDescent="0.35">
      <c r="C31" s="66" t="s">
        <v>66</v>
      </c>
      <c r="D31" s="13">
        <v>10505</v>
      </c>
      <c r="E31" s="13">
        <v>10157</v>
      </c>
      <c r="F31" s="13">
        <v>10903</v>
      </c>
      <c r="G31" s="65">
        <f>G107</f>
        <v>0</v>
      </c>
      <c r="H31" s="65">
        <f>H107</f>
        <v>0</v>
      </c>
      <c r="I31" s="65">
        <f>I107</f>
        <v>0</v>
      </c>
      <c r="J31" s="65">
        <f>J107</f>
        <v>0</v>
      </c>
      <c r="K31" s="65">
        <f>K107</f>
        <v>0</v>
      </c>
      <c r="L31" s="65">
        <f t="shared" ref="L31:N31" si="17">L107</f>
        <v>0</v>
      </c>
      <c r="M31" s="65">
        <f t="shared" si="17"/>
        <v>0</v>
      </c>
      <c r="N31" s="65"/>
      <c r="P31" t="s">
        <v>67</v>
      </c>
    </row>
    <row r="32" spans="3:17" x14ac:dyDescent="0.35">
      <c r="C32" s="67" t="s">
        <v>68</v>
      </c>
      <c r="D32" s="63">
        <f t="shared" ref="D32:K32" si="18">D23+D31</f>
        <v>70529</v>
      </c>
      <c r="E32" s="63">
        <f t="shared" si="18"/>
        <v>71501</v>
      </c>
      <c r="F32" s="63">
        <f t="shared" si="18"/>
        <v>81801</v>
      </c>
      <c r="G32" s="63">
        <f t="shared" si="18"/>
        <v>0</v>
      </c>
      <c r="H32" s="63">
        <f t="shared" si="18"/>
        <v>0</v>
      </c>
      <c r="I32" s="63">
        <f t="shared" si="18"/>
        <v>0</v>
      </c>
      <c r="J32" s="63">
        <f t="shared" si="18"/>
        <v>0</v>
      </c>
      <c r="K32" s="63">
        <f t="shared" si="18"/>
        <v>0</v>
      </c>
      <c r="L32" s="63">
        <f t="shared" ref="L32:N32" si="19">L23+L31</f>
        <v>0</v>
      </c>
      <c r="M32" s="63">
        <f t="shared" si="19"/>
        <v>0</v>
      </c>
      <c r="N32" s="63"/>
      <c r="P32" s="18" t="s">
        <v>69</v>
      </c>
    </row>
    <row r="33" spans="3:23" x14ac:dyDescent="0.35">
      <c r="C33" s="66" t="s">
        <v>70</v>
      </c>
      <c r="D33" s="13">
        <v>4210</v>
      </c>
      <c r="E33" s="13">
        <v>4840</v>
      </c>
      <c r="F33" s="13">
        <v>5340</v>
      </c>
      <c r="G33" s="65">
        <f>F33*(1+G37)</f>
        <v>5340</v>
      </c>
      <c r="H33" s="65">
        <f>G33*(1+H37)</f>
        <v>5340</v>
      </c>
      <c r="I33" s="65">
        <f>H33*(1+I37)</f>
        <v>5340</v>
      </c>
      <c r="J33" s="65">
        <f>I33*(1+J37)</f>
        <v>5340</v>
      </c>
      <c r="K33" s="65">
        <f>J33*(1+K37)</f>
        <v>5340</v>
      </c>
      <c r="L33" s="65">
        <f t="shared" ref="L33:N33" si="20">K33*(1+L37)</f>
        <v>5340</v>
      </c>
      <c r="M33" s="65">
        <f t="shared" si="20"/>
        <v>5340</v>
      </c>
      <c r="N33" s="65"/>
      <c r="P33" t="s">
        <v>71</v>
      </c>
    </row>
    <row r="34" spans="3:23" x14ac:dyDescent="0.35">
      <c r="C34" s="67" t="s">
        <v>72</v>
      </c>
      <c r="D34" s="63">
        <f t="shared" ref="D34:K34" si="21">SUM(D32:D33)</f>
        <v>74739</v>
      </c>
      <c r="E34" s="63">
        <f t="shared" si="21"/>
        <v>76341</v>
      </c>
      <c r="F34" s="63">
        <f>SUM(F32:F33)</f>
        <v>87141</v>
      </c>
      <c r="G34" s="63">
        <f t="shared" si="21"/>
        <v>5340</v>
      </c>
      <c r="H34" s="63">
        <f t="shared" si="21"/>
        <v>5340</v>
      </c>
      <c r="I34" s="63">
        <f t="shared" si="21"/>
        <v>5340</v>
      </c>
      <c r="J34" s="63">
        <f t="shared" si="21"/>
        <v>5340</v>
      </c>
      <c r="K34" s="63">
        <f t="shared" si="21"/>
        <v>5340</v>
      </c>
      <c r="L34" s="63">
        <f t="shared" ref="L34:N34" si="22">SUM(L32:L33)</f>
        <v>5340</v>
      </c>
      <c r="M34" s="63">
        <f t="shared" si="22"/>
        <v>5340</v>
      </c>
      <c r="N34" s="63"/>
      <c r="P34" s="18" t="s">
        <v>73</v>
      </c>
    </row>
    <row r="35" spans="3:23" x14ac:dyDescent="0.35">
      <c r="C35" s="3"/>
      <c r="G35" s="68"/>
    </row>
    <row r="36" spans="3:23" x14ac:dyDescent="0.35">
      <c r="C36" s="2" t="s">
        <v>6</v>
      </c>
    </row>
    <row r="37" spans="3:23" x14ac:dyDescent="0.35">
      <c r="C37" s="3" t="s">
        <v>7</v>
      </c>
      <c r="D37" s="4"/>
      <c r="E37" s="4">
        <f>E18/D18-1</f>
        <v>6.304518199398057E-2</v>
      </c>
      <c r="F37" s="4">
        <f>F18/E18-1</f>
        <v>0.15861957650261305</v>
      </c>
      <c r="G37" s="4">
        <f t="shared" ref="G37:K40" si="23">G175</f>
        <v>0</v>
      </c>
      <c r="H37" s="4">
        <f t="shared" si="23"/>
        <v>0</v>
      </c>
      <c r="I37" s="4">
        <f t="shared" si="23"/>
        <v>0</v>
      </c>
      <c r="J37" s="4">
        <f t="shared" si="23"/>
        <v>0</v>
      </c>
      <c r="K37" s="4">
        <f t="shared" si="23"/>
        <v>0</v>
      </c>
      <c r="L37" s="4">
        <f t="shared" ref="L37:N37" si="24">L175</f>
        <v>0</v>
      </c>
      <c r="M37" s="4">
        <f t="shared" si="24"/>
        <v>0</v>
      </c>
      <c r="N37" s="4"/>
      <c r="P37" t="s">
        <v>74</v>
      </c>
      <c r="R37" s="5"/>
      <c r="S37" s="5"/>
      <c r="T37" s="5"/>
      <c r="U37" s="5"/>
      <c r="V37" s="5"/>
      <c r="W37" s="5"/>
    </row>
    <row r="38" spans="3:23" x14ac:dyDescent="0.35">
      <c r="C38" s="3" t="s">
        <v>8</v>
      </c>
      <c r="D38" s="4">
        <f>D20/D18</f>
        <v>0.39075955648097049</v>
      </c>
      <c r="E38" s="4">
        <f>E20/E18</f>
        <v>0.38469860491899105</v>
      </c>
      <c r="F38" s="4">
        <f>F20/F18</f>
        <v>0.38343718820007905</v>
      </c>
      <c r="G38" s="4">
        <f t="shared" si="23"/>
        <v>0</v>
      </c>
      <c r="H38" s="4">
        <f t="shared" si="23"/>
        <v>0</v>
      </c>
      <c r="I38" s="4">
        <f t="shared" si="23"/>
        <v>0</v>
      </c>
      <c r="J38" s="4">
        <f t="shared" si="23"/>
        <v>0</v>
      </c>
      <c r="K38" s="4">
        <f t="shared" si="23"/>
        <v>0</v>
      </c>
      <c r="L38" s="4">
        <f t="shared" ref="L38:N38" si="25">L176</f>
        <v>0</v>
      </c>
      <c r="M38" s="4">
        <f t="shared" si="25"/>
        <v>0</v>
      </c>
      <c r="N38" s="4"/>
      <c r="P38" t="s">
        <v>74</v>
      </c>
      <c r="R38" s="5"/>
      <c r="S38" s="5"/>
      <c r="T38" s="5"/>
      <c r="U38" s="5"/>
      <c r="V38" s="5"/>
      <c r="W38" s="5"/>
    </row>
    <row r="39" spans="3:23" x14ac:dyDescent="0.35">
      <c r="C39" s="3" t="s">
        <v>9</v>
      </c>
      <c r="D39" s="4">
        <f>-D21/D18</f>
        <v>4.6582482760539605E-2</v>
      </c>
      <c r="E39" s="4">
        <f>-E21/E18</f>
        <v>5.0520428906706681E-2</v>
      </c>
      <c r="F39" s="4">
        <f>-F21/F18</f>
        <v>5.3600406634161032E-2</v>
      </c>
      <c r="G39" s="4">
        <f t="shared" si="23"/>
        <v>0</v>
      </c>
      <c r="H39" s="4">
        <f t="shared" si="23"/>
        <v>0</v>
      </c>
      <c r="I39" s="4">
        <f t="shared" si="23"/>
        <v>0</v>
      </c>
      <c r="J39" s="4">
        <f t="shared" si="23"/>
        <v>0</v>
      </c>
      <c r="K39" s="4">
        <f t="shared" si="23"/>
        <v>0</v>
      </c>
      <c r="L39" s="4">
        <f t="shared" ref="L39:N39" si="26">L177</f>
        <v>0</v>
      </c>
      <c r="M39" s="4">
        <f t="shared" si="26"/>
        <v>0</v>
      </c>
      <c r="N39" s="4"/>
      <c r="P39" t="s">
        <v>74</v>
      </c>
      <c r="R39" s="5"/>
      <c r="S39" s="5"/>
      <c r="T39" s="5"/>
      <c r="U39" s="5"/>
      <c r="V39" s="5"/>
      <c r="W39" s="5"/>
    </row>
    <row r="40" spans="3:23" x14ac:dyDescent="0.35">
      <c r="C40" s="3" t="s">
        <v>10</v>
      </c>
      <c r="D40" s="4">
        <f>-D22/D18</f>
        <v>6.5822972653369755E-2</v>
      </c>
      <c r="E40" s="4">
        <f>-E22/E18</f>
        <v>6.6573893924984945E-2</v>
      </c>
      <c r="F40" s="4">
        <f>-F22/F18</f>
        <v>6.2896515371147807E-2</v>
      </c>
      <c r="G40" s="4">
        <f t="shared" si="23"/>
        <v>0</v>
      </c>
      <c r="H40" s="4">
        <f t="shared" si="23"/>
        <v>0</v>
      </c>
      <c r="I40" s="4">
        <f t="shared" si="23"/>
        <v>0</v>
      </c>
      <c r="J40" s="4">
        <f t="shared" si="23"/>
        <v>0</v>
      </c>
      <c r="K40" s="4">
        <f t="shared" si="23"/>
        <v>0</v>
      </c>
      <c r="L40" s="4">
        <f t="shared" ref="L40:N40" si="27">L178</f>
        <v>0</v>
      </c>
      <c r="M40" s="4">
        <f t="shared" si="27"/>
        <v>0</v>
      </c>
      <c r="N40" s="4"/>
      <c r="P40" t="s">
        <v>74</v>
      </c>
      <c r="R40" s="5"/>
      <c r="S40" s="5"/>
      <c r="T40" s="5"/>
      <c r="U40" s="5"/>
      <c r="V40" s="5"/>
      <c r="W40" s="5"/>
    </row>
    <row r="41" spans="3:23" x14ac:dyDescent="0.35">
      <c r="C41" s="3" t="s">
        <v>11</v>
      </c>
      <c r="D41" s="4">
        <f>-(D28/D27)</f>
        <v>0.25557257381216192</v>
      </c>
      <c r="E41" s="4">
        <f>-(E28/E27)</f>
        <v>0.24556476150353415</v>
      </c>
      <c r="F41" s="4">
        <f>-(F28/F27)</f>
        <v>0.18342180705869443</v>
      </c>
      <c r="G41" s="5">
        <v>0.16700000000000001</v>
      </c>
      <c r="H41" s="5">
        <v>0.17</v>
      </c>
      <c r="I41" s="5">
        <v>0.16900000000000001</v>
      </c>
      <c r="J41" s="4">
        <f>I41</f>
        <v>0.16900000000000001</v>
      </c>
      <c r="K41" s="4">
        <f>J41</f>
        <v>0.16900000000000001</v>
      </c>
      <c r="L41" s="4">
        <f t="shared" ref="L41:N41" si="28">K41</f>
        <v>0.16900000000000001</v>
      </c>
      <c r="M41" s="4">
        <f t="shared" si="28"/>
        <v>0.16900000000000001</v>
      </c>
      <c r="N41" s="4"/>
      <c r="P41" t="s">
        <v>75</v>
      </c>
      <c r="R41" s="5"/>
      <c r="S41" s="5"/>
      <c r="T41" s="5"/>
      <c r="U41" s="5"/>
      <c r="V41" s="5"/>
      <c r="W41" s="5"/>
    </row>
    <row r="42" spans="3:23" x14ac:dyDescent="0.35">
      <c r="C42" s="3"/>
      <c r="G42" s="68"/>
    </row>
  </sheetData>
  <conditionalFormatting sqref="C40">
    <cfRule type="expression" dxfId="0" priority="1">
      <formula>#REF!=$C40</formula>
    </cfRule>
  </conditionalFormatting>
  <dataValidations count="3">
    <dataValidation type="list" allowBlank="1" showInputMessage="1" showErrorMessage="1" sqref="C3" xr:uid="{289EF65C-7812-4066-8344-5A674129D9F2}">
      <formula1>"$ bns except per share, $ mm except per share,$ in thousands except per share"</formula1>
    </dataValidation>
    <dataValidation type="list" allowBlank="1" showInputMessage="1" showErrorMessage="1" sqref="D10" xr:uid="{3D39C196-8954-4638-BD89-D6B36741E3FD}">
      <formula1>$C$181:$C$183</formula1>
    </dataValidation>
    <dataValidation type="list" allowBlank="1" showInputMessage="1" showErrorMessage="1" sqref="D7" xr:uid="{49857410-4AB2-42C1-B5EC-C2D459C43203}">
      <formula1>"0,1"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Price</vt:lpstr>
      <vt:lpstr>Aid</vt:lpstr>
      <vt:lpstr>AttrtionMatrix</vt:lpstr>
      <vt:lpstr>RevBuild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Afolabi Isiaka</dc:creator>
  <cp:lastModifiedBy>Afolabi Isiaka</cp:lastModifiedBy>
  <dcterms:created xsi:type="dcterms:W3CDTF">2015-06-05T18:17:20Z</dcterms:created>
  <dcterms:modified xsi:type="dcterms:W3CDTF">2025-07-16T02:51:09Z</dcterms:modified>
</cp:coreProperties>
</file>